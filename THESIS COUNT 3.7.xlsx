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y/Desktop/Thesis_R/new lamina count /"/>
    </mc:Choice>
  </mc:AlternateContent>
  <xr:revisionPtr revIDLastSave="0" documentId="8_{BB6DF399-983B-EF49-8DFE-170998BD541E}" xr6:coauthVersionLast="47" xr6:coauthVersionMax="47" xr10:uidLastSave="{00000000-0000-0000-0000-000000000000}"/>
  <bookViews>
    <workbookView xWindow="0" yWindow="1640" windowWidth="28800" windowHeight="15720" xr2:uid="{3D0069CC-00AD-46DF-ABF6-E4B07DEB60A7}"/>
  </bookViews>
  <sheets>
    <sheet name="RAW" sheetId="2" r:id="rId1"/>
    <sheet name="cf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X2" i="2" l="1"/>
  <c r="W3" i="2"/>
  <c r="W4" i="2"/>
  <c r="W5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7" i="2"/>
  <c r="V48" i="2"/>
  <c r="V49" i="2"/>
  <c r="V50" i="2"/>
  <c r="U3" i="2"/>
  <c r="U4" i="2"/>
  <c r="U5" i="2"/>
  <c r="U6" i="2"/>
  <c r="U7" i="2"/>
  <c r="U8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5" i="2"/>
  <c r="U26" i="2"/>
  <c r="U27" i="2"/>
  <c r="U28" i="2"/>
  <c r="U29" i="2"/>
  <c r="U30" i="2"/>
  <c r="U31" i="2"/>
  <c r="U32" i="2"/>
  <c r="U33" i="2"/>
  <c r="U34" i="2"/>
  <c r="U35" i="2"/>
  <c r="U36" i="2"/>
  <c r="U38" i="2"/>
  <c r="U39" i="2"/>
  <c r="U41" i="2"/>
  <c r="U42" i="2"/>
  <c r="U43" i="2"/>
  <c r="U44" i="2"/>
  <c r="U45" i="2"/>
  <c r="U46" i="2"/>
  <c r="U47" i="2"/>
  <c r="U48" i="2"/>
  <c r="U49" i="2"/>
  <c r="U50" i="2"/>
  <c r="W2" i="2"/>
  <c r="V2" i="2"/>
  <c r="U2" i="2"/>
  <c r="T25" i="2"/>
  <c r="X25" i="2" s="1"/>
  <c r="Q3" i="3"/>
  <c r="Q4" i="3"/>
  <c r="Q5" i="3"/>
  <c r="Q6" i="3"/>
  <c r="Q7" i="3"/>
  <c r="Q8" i="3"/>
  <c r="Q9" i="3"/>
  <c r="Q10" i="3"/>
  <c r="Q11" i="3"/>
  <c r="Q12" i="3"/>
  <c r="Q13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S5" i="2"/>
  <c r="T2" i="2"/>
  <c r="S2" i="2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X3" i="2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T3" i="2"/>
  <c r="S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M11" i="2"/>
  <c r="I3" i="2"/>
  <c r="I4" i="2"/>
  <c r="S37" i="2"/>
  <c r="X37" i="2" s="1"/>
  <c r="S40" i="2"/>
  <c r="X40" i="2" s="1"/>
  <c r="I2" i="2"/>
  <c r="B8" i="2"/>
  <c r="C8" i="2"/>
  <c r="D8" i="2"/>
  <c r="M8" i="2"/>
  <c r="Q8" i="2"/>
  <c r="T8" i="2"/>
  <c r="T50" i="2"/>
  <c r="Q50" i="2"/>
  <c r="M50" i="2"/>
  <c r="T49" i="2"/>
  <c r="Q49" i="2"/>
  <c r="M49" i="2"/>
  <c r="T48" i="2"/>
  <c r="Q48" i="2"/>
  <c r="M48" i="2"/>
  <c r="T47" i="2"/>
  <c r="Q47" i="2"/>
  <c r="M47" i="2"/>
  <c r="T46" i="2"/>
  <c r="Q46" i="2"/>
  <c r="M46" i="2"/>
  <c r="T45" i="2"/>
  <c r="Q45" i="2"/>
  <c r="M45" i="2"/>
  <c r="T44" i="2"/>
  <c r="Q44" i="2"/>
  <c r="M44" i="2"/>
  <c r="T43" i="2"/>
  <c r="Q43" i="2"/>
  <c r="M43" i="2"/>
  <c r="T42" i="2"/>
  <c r="Q42" i="2"/>
  <c r="M42" i="2"/>
  <c r="T41" i="2"/>
  <c r="Q41" i="2"/>
  <c r="M41" i="2"/>
  <c r="T40" i="2"/>
  <c r="Q40" i="2"/>
  <c r="M40" i="2"/>
  <c r="T39" i="2"/>
  <c r="Q39" i="2"/>
  <c r="M39" i="2"/>
  <c r="T38" i="2"/>
  <c r="Q38" i="2"/>
  <c r="M38" i="2"/>
  <c r="T37" i="2"/>
  <c r="Q37" i="2"/>
  <c r="M37" i="2"/>
  <c r="T36" i="2"/>
  <c r="Q36" i="2"/>
  <c r="M36" i="2"/>
  <c r="T35" i="2"/>
  <c r="Q35" i="2"/>
  <c r="M35" i="2"/>
  <c r="T34" i="2"/>
  <c r="Q34" i="2"/>
  <c r="M34" i="2"/>
  <c r="T33" i="2"/>
  <c r="Q33" i="2"/>
  <c r="M33" i="2"/>
  <c r="T32" i="2"/>
  <c r="Q32" i="2"/>
  <c r="M32" i="2"/>
  <c r="T31" i="2"/>
  <c r="Q31" i="2"/>
  <c r="M31" i="2"/>
  <c r="T30" i="2"/>
  <c r="Q30" i="2"/>
  <c r="M30" i="2"/>
  <c r="T29" i="2"/>
  <c r="Q29" i="2"/>
  <c r="M29" i="2"/>
  <c r="T28" i="2"/>
  <c r="Q28" i="2"/>
  <c r="M28" i="2"/>
  <c r="T27" i="2"/>
  <c r="Q27" i="2"/>
  <c r="M27" i="2"/>
  <c r="T26" i="2"/>
  <c r="Q26" i="2"/>
  <c r="M26" i="2"/>
  <c r="Q25" i="2"/>
  <c r="M25" i="2"/>
  <c r="T4" i="2"/>
  <c r="T5" i="2"/>
  <c r="T6" i="2"/>
  <c r="T7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L2" i="3"/>
  <c r="I2" i="3"/>
  <c r="Q21" i="2"/>
  <c r="Q22" i="2"/>
  <c r="Q23" i="2"/>
  <c r="Q24" i="2"/>
  <c r="M21" i="2"/>
  <c r="M22" i="2"/>
  <c r="M23" i="2"/>
  <c r="M24" i="2"/>
  <c r="D22" i="2"/>
  <c r="D23" i="2"/>
  <c r="D24" i="2"/>
  <c r="C22" i="2"/>
  <c r="C23" i="2"/>
  <c r="C24" i="2"/>
  <c r="B22" i="2"/>
  <c r="B23" i="2"/>
  <c r="B24" i="2"/>
  <c r="B21" i="2"/>
  <c r="C21" i="2"/>
  <c r="D21" i="2"/>
  <c r="Q17" i="2"/>
  <c r="Q18" i="2"/>
  <c r="Q19" i="2"/>
  <c r="Q20" i="2"/>
  <c r="M17" i="2"/>
  <c r="M18" i="2"/>
  <c r="M19" i="2"/>
  <c r="M20" i="2"/>
  <c r="D18" i="2"/>
  <c r="D19" i="2"/>
  <c r="D20" i="2"/>
  <c r="C18" i="2"/>
  <c r="C19" i="2"/>
  <c r="C20" i="2"/>
  <c r="B18" i="2"/>
  <c r="B19" i="2"/>
  <c r="B20" i="2"/>
  <c r="B17" i="2"/>
  <c r="C17" i="2"/>
  <c r="D17" i="2"/>
  <c r="Q15" i="2"/>
  <c r="Q16" i="2"/>
  <c r="M14" i="2"/>
  <c r="M15" i="2"/>
  <c r="M16" i="2"/>
  <c r="Q13" i="2"/>
  <c r="M13" i="2"/>
  <c r="D14" i="2"/>
  <c r="D15" i="2"/>
  <c r="D16" i="2"/>
  <c r="C14" i="2"/>
  <c r="C15" i="2"/>
  <c r="C16" i="2"/>
  <c r="B14" i="2"/>
  <c r="B15" i="2"/>
  <c r="B16" i="2"/>
  <c r="B13" i="2"/>
  <c r="C13" i="2"/>
  <c r="D13" i="2"/>
  <c r="D12" i="2"/>
  <c r="C12" i="2"/>
  <c r="B12" i="2"/>
  <c r="Q12" i="2"/>
  <c r="M12" i="2"/>
  <c r="Q7" i="2"/>
  <c r="Q9" i="2"/>
  <c r="Q10" i="2"/>
  <c r="Q11" i="2"/>
  <c r="M10" i="2"/>
  <c r="D7" i="2"/>
  <c r="D9" i="2"/>
  <c r="D10" i="2"/>
  <c r="D11" i="2"/>
  <c r="C7" i="2"/>
  <c r="C9" i="2"/>
  <c r="C10" i="2"/>
  <c r="C11" i="2"/>
  <c r="B7" i="2"/>
  <c r="B9" i="2"/>
  <c r="B10" i="2"/>
  <c r="B11" i="2"/>
  <c r="M3" i="2"/>
  <c r="M4" i="2"/>
  <c r="M5" i="2"/>
  <c r="M6" i="2"/>
  <c r="Q3" i="2"/>
  <c r="Q4" i="2"/>
  <c r="Q6" i="2"/>
  <c r="Q2" i="2"/>
  <c r="M2" i="2"/>
  <c r="D3" i="2"/>
  <c r="D4" i="2"/>
  <c r="D5" i="2"/>
  <c r="D6" i="2"/>
  <c r="C3" i="2"/>
  <c r="C4" i="2"/>
  <c r="C5" i="2"/>
  <c r="C6" i="2"/>
  <c r="B3" i="2"/>
  <c r="B4" i="2"/>
  <c r="B5" i="2"/>
  <c r="B6" i="2"/>
  <c r="D2" i="2"/>
  <c r="C2" i="2"/>
  <c r="B2" i="2"/>
  <c r="P2" i="3" l="1"/>
  <c r="R2" i="3"/>
  <c r="S24" i="2"/>
  <c r="S23" i="2"/>
  <c r="X23" i="2" s="1"/>
  <c r="S22" i="2"/>
  <c r="X22" i="2" s="1"/>
  <c r="S7" i="2"/>
  <c r="S21" i="2"/>
  <c r="X21" i="2" s="1"/>
  <c r="S18" i="2"/>
  <c r="X18" i="2" s="1"/>
  <c r="S20" i="2"/>
  <c r="X20" i="2" s="1"/>
  <c r="S11" i="2"/>
  <c r="S19" i="2"/>
  <c r="X19" i="2" s="1"/>
  <c r="S10" i="2"/>
  <c r="S17" i="2"/>
  <c r="X17" i="2" s="1"/>
  <c r="S16" i="2"/>
  <c r="X16" i="2" s="1"/>
  <c r="X10" i="2"/>
  <c r="S8" i="2"/>
  <c r="X8" i="2" s="1"/>
  <c r="S14" i="2"/>
  <c r="X14" i="2" s="1"/>
  <c r="S12" i="2"/>
  <c r="X12" i="2" s="1"/>
  <c r="S6" i="2"/>
  <c r="X6" i="2" s="1"/>
  <c r="S15" i="2"/>
  <c r="X15" i="2" s="1"/>
  <c r="S13" i="2"/>
  <c r="X13" i="2" s="1"/>
  <c r="S9" i="2"/>
  <c r="X9" i="2" s="1"/>
  <c r="X5" i="2"/>
  <c r="X24" i="2"/>
  <c r="X11" i="2"/>
  <c r="X7" i="2"/>
  <c r="S4" i="2"/>
  <c r="X4" i="2" s="1"/>
  <c r="S50" i="2"/>
  <c r="X50" i="2" s="1"/>
  <c r="S49" i="2"/>
  <c r="X49" i="2" s="1"/>
  <c r="S48" i="2"/>
  <c r="X48" i="2" s="1"/>
  <c r="S47" i="2"/>
  <c r="X47" i="2" s="1"/>
  <c r="S46" i="2"/>
  <c r="X46" i="2" s="1"/>
  <c r="S45" i="2"/>
  <c r="X45" i="2" s="1"/>
  <c r="S44" i="2"/>
  <c r="X44" i="2" s="1"/>
  <c r="S43" i="2"/>
  <c r="X43" i="2" s="1"/>
  <c r="S42" i="2"/>
  <c r="X42" i="2" s="1"/>
  <c r="S41" i="2"/>
  <c r="X41" i="2" s="1"/>
  <c r="S39" i="2"/>
  <c r="X39" i="2" s="1"/>
  <c r="S38" i="2"/>
  <c r="X38" i="2" s="1"/>
  <c r="S36" i="2"/>
  <c r="X36" i="2" s="1"/>
  <c r="S35" i="2"/>
  <c r="X35" i="2" s="1"/>
  <c r="S34" i="2"/>
  <c r="X34" i="2" s="1"/>
  <c r="S33" i="2"/>
  <c r="X33" i="2" s="1"/>
  <c r="S32" i="2"/>
  <c r="X32" i="2" s="1"/>
  <c r="S31" i="2"/>
  <c r="X31" i="2" s="1"/>
  <c r="S30" i="2"/>
  <c r="X30" i="2" s="1"/>
  <c r="S29" i="2"/>
  <c r="X29" i="2" s="1"/>
  <c r="S28" i="2"/>
  <c r="X28" i="2" s="1"/>
  <c r="S27" i="2"/>
  <c r="X27" i="2" s="1"/>
  <c r="S26" i="2"/>
  <c r="X26" i="2" s="1"/>
  <c r="S25" i="2"/>
  <c r="S2" i="3" l="1"/>
  <c r="R3" i="3"/>
  <c r="S3" i="3"/>
  <c r="R4" i="3"/>
  <c r="S4" i="3"/>
  <c r="R5" i="3"/>
  <c r="S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</calcChain>
</file>

<file path=xl/sharedStrings.xml><?xml version="1.0" encoding="utf-8"?>
<sst xmlns="http://schemas.openxmlformats.org/spreadsheetml/2006/main" count="282" uniqueCount="49">
  <si>
    <t>ANIMAL</t>
  </si>
  <si>
    <t>CPM2VG2</t>
  </si>
  <si>
    <t>MODEL</t>
  </si>
  <si>
    <t>AGENT</t>
  </si>
  <si>
    <t>MARKER</t>
  </si>
  <si>
    <t>SLICE</t>
  </si>
  <si>
    <t>EXPERIMENT</t>
  </si>
  <si>
    <t>L1_HI</t>
  </si>
  <si>
    <t>L1_LOW</t>
  </si>
  <si>
    <t>L1_TOTAL</t>
  </si>
  <si>
    <t>L2_HIGH</t>
  </si>
  <si>
    <t>L2_LOW</t>
  </si>
  <si>
    <t>L2_TOTAL</t>
  </si>
  <si>
    <t>L34_HIGH</t>
  </si>
  <si>
    <t>L34_LOW</t>
  </si>
  <si>
    <t>L34_TOTAL</t>
  </si>
  <si>
    <t>CPM2P2</t>
  </si>
  <si>
    <t>CPAMGVG2</t>
  </si>
  <si>
    <t>CPM2AMGVG2</t>
  </si>
  <si>
    <t>SLICE_TOTAL</t>
  </si>
  <si>
    <t>OXAMGVG2</t>
  </si>
  <si>
    <t>OXM2VG2</t>
  </si>
  <si>
    <t>OXM2AMGVG2</t>
  </si>
  <si>
    <t>CPAMGP2</t>
  </si>
  <si>
    <t>CPM2AMGP2</t>
  </si>
  <si>
    <t>OXM2P2</t>
  </si>
  <si>
    <t>OXAMGP2</t>
  </si>
  <si>
    <t>OXM2AMGP2</t>
  </si>
  <si>
    <t>%-l1</t>
  </si>
  <si>
    <t>%-L2</t>
  </si>
  <si>
    <t>%-l3/4</t>
  </si>
  <si>
    <t>CPM2FOS</t>
  </si>
  <si>
    <t>Cold Pain</t>
  </si>
  <si>
    <t>TRPM2-KO</t>
  </si>
  <si>
    <t>CFOS</t>
  </si>
  <si>
    <t>CPAMGFOS</t>
  </si>
  <si>
    <t>AMG333</t>
  </si>
  <si>
    <t>CPM2AMGFOS</t>
  </si>
  <si>
    <t>AMG333 + TRPM2-KO</t>
  </si>
  <si>
    <t>OXAMGFOS</t>
  </si>
  <si>
    <t>Cold Allodynia</t>
  </si>
  <si>
    <t>L1_CFOS</t>
  </si>
  <si>
    <t>L2_CFOS</t>
  </si>
  <si>
    <t>L34_CFOS</t>
  </si>
  <si>
    <t>CFOS_TOTAL</t>
  </si>
  <si>
    <t>PAX2</t>
  </si>
  <si>
    <t xml:space="preserve">AMG333 </t>
  </si>
  <si>
    <t>total%</t>
  </si>
  <si>
    <t>%-l3/4+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</si>
</sst>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2" fillId="7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2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CB3E-552A-4813-A159-FA69B45BF8EC}">
  <dimension ref="A1:X50"/>
  <sheetViews>
    <sheetView tabSelected="1" zoomScale="125" workbookViewId="0">
      <pane ySplit="1" topLeftCell="A38" activePane="bottomLeft" state="frozen"/>
      <selection pane="bottomLeft" activeCell="F53" sqref="F53"/>
    </sheetView>
  </sheetViews>
  <sheetFormatPr baseColWidth="10" defaultColWidth="8.83203125" defaultRowHeight="15" x14ac:dyDescent="0.2"/>
  <cols>
    <col min="1" max="1" width="12.33203125" customWidth="1"/>
    <col min="2" max="2" width="11.6640625" customWidth="1"/>
    <col min="3" max="3" width="19" customWidth="1"/>
    <col min="5" max="5" width="9.1640625"/>
    <col min="17" max="18" width="10.5" customWidth="1"/>
    <col min="19" max="20" width="12" customWidth="1"/>
  </cols>
  <sheetData>
    <row r="1" spans="1:24" x14ac:dyDescent="0.2">
      <c r="A1" t="s">
        <v>6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7</v>
      </c>
      <c r="H1" t="s">
        <v>8</v>
      </c>
      <c r="I1" t="s">
        <v>9</v>
      </c>
      <c r="J1" t="s">
        <v>41</v>
      </c>
      <c r="K1" t="s">
        <v>10</v>
      </c>
      <c r="L1" t="s">
        <v>11</v>
      </c>
      <c r="M1" t="s">
        <v>12</v>
      </c>
      <c r="N1" t="s">
        <v>42</v>
      </c>
      <c r="O1" t="s">
        <v>13</v>
      </c>
      <c r="P1" t="s">
        <v>14</v>
      </c>
      <c r="Q1" t="s">
        <v>15</v>
      </c>
      <c r="R1" t="s">
        <v>43</v>
      </c>
      <c r="S1" t="s">
        <v>19</v>
      </c>
      <c r="T1" t="s">
        <v>44</v>
      </c>
      <c r="U1" t="s">
        <v>28</v>
      </c>
      <c r="V1" t="s">
        <v>29</v>
      </c>
      <c r="W1" t="s">
        <v>30</v>
      </c>
      <c r="X1" t="s">
        <v>47</v>
      </c>
    </row>
    <row r="2" spans="1:24" x14ac:dyDescent="0.2">
      <c r="A2" s="2" t="s">
        <v>1</v>
      </c>
      <c r="B2" s="2" t="str">
        <f>IF(LEFT(A2,2)="CP","Cold Pain",
IF(LEFT(A2,2)="OX","Cold Allodynia",""))</f>
        <v>Cold Pain</v>
      </c>
      <c r="C2" s="2" t="str">
        <f>IF(AND(ISNUMBER(SEARCH("AMG",A2)),ISNUMBER(SEARCH("M2",A2))),
"AMG333 + TRPM2-KO",
IF(ISNUMBER(SEARCH("AMG",A2)),
"AMG333",
IF(ISNUMBER(SEARCH("M2",A2)),
"TRPM2-KO","")))</f>
        <v>TRPM2-KO</v>
      </c>
      <c r="D2" s="2" t="str">
        <f>IF(RIGHT(A2,3)="VG2","VGLUT2",
IF(RIGHT(A2,2)="P2","PAX2",""))</f>
        <v>VGLUT2</v>
      </c>
      <c r="E2">
        <v>13</v>
      </c>
      <c r="F2">
        <v>1</v>
      </c>
      <c r="G2">
        <v>0</v>
      </c>
      <c r="H2">
        <v>2</v>
      </c>
      <c r="I2">
        <f>SUM($G2+$H2)</f>
        <v>2</v>
      </c>
      <c r="J2">
        <v>2</v>
      </c>
      <c r="K2">
        <v>2</v>
      </c>
      <c r="L2">
        <v>3</v>
      </c>
      <c r="M2">
        <f>SUM($K2+$L2)</f>
        <v>5</v>
      </c>
      <c r="N2">
        <v>5</v>
      </c>
      <c r="O2">
        <v>0</v>
      </c>
      <c r="P2">
        <v>2</v>
      </c>
      <c r="Q2">
        <f>SUM($O2+$P2)</f>
        <v>2</v>
      </c>
      <c r="R2">
        <v>3</v>
      </c>
      <c r="S2">
        <f>SUM($I2 + $M2 + $Q2 )</f>
        <v>9</v>
      </c>
      <c r="T2">
        <f>SUM(J2+N2+R2)</f>
        <v>10</v>
      </c>
      <c r="U2" s="1">
        <f>SUM($I2/$J2)*100</f>
        <v>100</v>
      </c>
      <c r="V2" s="1">
        <f>SUM($M2/$N2)*100</f>
        <v>100</v>
      </c>
      <c r="W2" s="1">
        <f>SUM($Q2/$R2)*100</f>
        <v>66.666666666666657</v>
      </c>
      <c r="X2" s="1">
        <f>SUM(S2/T2)*100</f>
        <v>90</v>
      </c>
    </row>
    <row r="3" spans="1:24" x14ac:dyDescent="0.2">
      <c r="A3" s="2" t="s">
        <v>1</v>
      </c>
      <c r="B3" s="2" t="str">
        <f t="shared" ref="B3:B24" si="0">IF(LEFT(A3,2)="CP","Cold Pain",
IF(LEFT(A3,2)="OX","Cold Allodynia",""))</f>
        <v>Cold Pain</v>
      </c>
      <c r="C3" s="2" t="str">
        <f t="shared" ref="C3:C24" si="1">IF(AND(ISNUMBER(SEARCH("AMG",A3)),ISNUMBER(SEARCH("M2",A3))),
"AMG333 + TRPM2-KO",
IF(ISNUMBER(SEARCH("AMG",A3)),
"AMG333",
IF(ISNUMBER(SEARCH("M2",A3)),
"TRPM2-KO","")))</f>
        <v>TRPM2-KO</v>
      </c>
      <c r="D3" s="2" t="str">
        <f t="shared" ref="D3:D24" si="2">IF(RIGHT(A3,3)="VG2","VGLUT2",
IF(RIGHT(A3,2)="P2","PAX2",""))</f>
        <v>VGLUT2</v>
      </c>
      <c r="E3">
        <v>17</v>
      </c>
      <c r="F3">
        <v>1</v>
      </c>
      <c r="G3">
        <v>1</v>
      </c>
      <c r="H3">
        <v>1</v>
      </c>
      <c r="I3">
        <f t="shared" ref="I3:I50" si="3">SUM($G3+$H3)</f>
        <v>2</v>
      </c>
      <c r="J3">
        <v>4</v>
      </c>
      <c r="K3">
        <v>2</v>
      </c>
      <c r="L3">
        <v>1</v>
      </c>
      <c r="M3">
        <f t="shared" ref="M3:M24" si="4">SUM($K3+$L3)</f>
        <v>3</v>
      </c>
      <c r="N3">
        <v>3</v>
      </c>
      <c r="O3">
        <v>1</v>
      </c>
      <c r="P3">
        <v>0</v>
      </c>
      <c r="Q3">
        <f t="shared" ref="Q3:Q24" si="5">SUM($O3+$P3)</f>
        <v>1</v>
      </c>
      <c r="R3">
        <v>2</v>
      </c>
      <c r="S3">
        <f>SUM($I3 + $M3 + $Q3 )</f>
        <v>6</v>
      </c>
      <c r="T3">
        <f>SUM(J3+N3+R3)</f>
        <v>9</v>
      </c>
      <c r="U3" s="1">
        <f t="shared" ref="U3:U50" si="6">SUM($I3/$J3)*100</f>
        <v>50</v>
      </c>
      <c r="V3" s="1">
        <f t="shared" ref="V3:V50" si="7">SUM($M3/$N3)*100</f>
        <v>100</v>
      </c>
      <c r="W3" s="1">
        <f t="shared" ref="W3:W50" si="8">SUM($Q3/$R3)*100</f>
        <v>50</v>
      </c>
      <c r="X3" s="1">
        <f t="shared" ref="X3:X24" si="9">SUM(S3/T3)*100</f>
        <v>66.666666666666657</v>
      </c>
    </row>
    <row r="4" spans="1:24" x14ac:dyDescent="0.2">
      <c r="A4" s="2" t="s">
        <v>1</v>
      </c>
      <c r="B4" s="2" t="str">
        <f t="shared" si="0"/>
        <v>Cold Pain</v>
      </c>
      <c r="C4" s="2" t="str">
        <f t="shared" si="1"/>
        <v>TRPM2-KO</v>
      </c>
      <c r="D4" s="2" t="str">
        <f t="shared" si="2"/>
        <v>VGLUT2</v>
      </c>
      <c r="E4">
        <v>21</v>
      </c>
      <c r="F4">
        <v>1</v>
      </c>
      <c r="G4">
        <v>0</v>
      </c>
      <c r="H4">
        <v>1</v>
      </c>
      <c r="I4">
        <f t="shared" si="3"/>
        <v>1</v>
      </c>
      <c r="J4">
        <v>1</v>
      </c>
      <c r="K4">
        <v>3</v>
      </c>
      <c r="L4">
        <v>1</v>
      </c>
      <c r="M4">
        <f t="shared" si="4"/>
        <v>4</v>
      </c>
      <c r="N4">
        <v>4</v>
      </c>
      <c r="O4">
        <v>0</v>
      </c>
      <c r="P4">
        <v>1</v>
      </c>
      <c r="Q4">
        <f t="shared" si="5"/>
        <v>1</v>
      </c>
      <c r="R4">
        <v>4</v>
      </c>
      <c r="S4">
        <f t="shared" ref="S4:S24" si="10">SUM($I4 + $M4 + $Q4 )</f>
        <v>6</v>
      </c>
      <c r="T4">
        <f t="shared" ref="T4:T24" si="11">SUM(J4+N4+R4)</f>
        <v>9</v>
      </c>
      <c r="U4" s="1">
        <f t="shared" si="6"/>
        <v>100</v>
      </c>
      <c r="V4" s="1">
        <f t="shared" si="7"/>
        <v>100</v>
      </c>
      <c r="W4" s="1">
        <f t="shared" si="8"/>
        <v>25</v>
      </c>
      <c r="X4" s="1">
        <f t="shared" si="9"/>
        <v>66.666666666666657</v>
      </c>
    </row>
    <row r="5" spans="1:24" x14ac:dyDescent="0.2">
      <c r="A5" s="2" t="s">
        <v>1</v>
      </c>
      <c r="B5" s="2" t="str">
        <f t="shared" si="0"/>
        <v>Cold Pain</v>
      </c>
      <c r="C5" s="2" t="str">
        <f t="shared" si="1"/>
        <v>TRPM2-KO</v>
      </c>
      <c r="D5" s="2" t="str">
        <f t="shared" si="2"/>
        <v>VGLUT2</v>
      </c>
      <c r="E5">
        <v>26</v>
      </c>
      <c r="F5">
        <v>1</v>
      </c>
      <c r="G5">
        <v>4</v>
      </c>
      <c r="H5">
        <v>0</v>
      </c>
      <c r="I5">
        <f t="shared" si="3"/>
        <v>4</v>
      </c>
      <c r="J5">
        <v>8</v>
      </c>
      <c r="K5">
        <v>6</v>
      </c>
      <c r="L5">
        <v>4</v>
      </c>
      <c r="M5">
        <f t="shared" si="4"/>
        <v>10</v>
      </c>
      <c r="N5">
        <v>15</v>
      </c>
      <c r="O5">
        <v>3</v>
      </c>
      <c r="P5">
        <v>1</v>
      </c>
      <c r="Q5">
        <v>4</v>
      </c>
      <c r="R5">
        <v>4</v>
      </c>
      <c r="S5">
        <f>SUM($I5 + $M5 + $Q5 )</f>
        <v>18</v>
      </c>
      <c r="T5">
        <f t="shared" si="11"/>
        <v>27</v>
      </c>
      <c r="U5" s="1">
        <f t="shared" si="6"/>
        <v>50</v>
      </c>
      <c r="V5" s="1">
        <f t="shared" si="7"/>
        <v>66.666666666666657</v>
      </c>
      <c r="W5" s="1">
        <f t="shared" si="8"/>
        <v>100</v>
      </c>
      <c r="X5" s="1">
        <f t="shared" si="9"/>
        <v>66.666666666666657</v>
      </c>
    </row>
    <row r="6" spans="1:24" x14ac:dyDescent="0.2">
      <c r="A6" s="4" t="s">
        <v>17</v>
      </c>
      <c r="B6" s="4" t="str">
        <f t="shared" si="0"/>
        <v>Cold Pain</v>
      </c>
      <c r="C6" s="4" t="str">
        <f t="shared" si="1"/>
        <v>AMG333</v>
      </c>
      <c r="D6" s="4" t="str">
        <f t="shared" si="2"/>
        <v>VGLUT2</v>
      </c>
      <c r="E6">
        <v>10</v>
      </c>
      <c r="F6">
        <v>1</v>
      </c>
      <c r="G6">
        <v>0</v>
      </c>
      <c r="H6">
        <v>0</v>
      </c>
      <c r="I6">
        <f t="shared" si="3"/>
        <v>0</v>
      </c>
      <c r="J6">
        <v>1</v>
      </c>
      <c r="K6">
        <v>0</v>
      </c>
      <c r="L6">
        <v>2</v>
      </c>
      <c r="M6">
        <f t="shared" si="4"/>
        <v>2</v>
      </c>
      <c r="N6">
        <v>2</v>
      </c>
      <c r="O6">
        <v>0</v>
      </c>
      <c r="P6">
        <v>0</v>
      </c>
      <c r="Q6">
        <f t="shared" si="5"/>
        <v>0</v>
      </c>
      <c r="R6">
        <v>0</v>
      </c>
      <c r="S6">
        <f t="shared" si="10"/>
        <v>2</v>
      </c>
      <c r="T6">
        <f t="shared" si="11"/>
        <v>3</v>
      </c>
      <c r="U6" s="1">
        <f t="shared" si="6"/>
        <v>0</v>
      </c>
      <c r="V6" s="1">
        <f t="shared" si="7"/>
        <v>100</v>
      </c>
      <c r="W6" s="1">
        <v>0</v>
      </c>
      <c r="X6" s="1">
        <f t="shared" si="9"/>
        <v>66.666666666666657</v>
      </c>
    </row>
    <row r="7" spans="1:24" x14ac:dyDescent="0.2">
      <c r="A7" s="4" t="s">
        <v>17</v>
      </c>
      <c r="B7" s="4" t="str">
        <f t="shared" si="0"/>
        <v>Cold Pain</v>
      </c>
      <c r="C7" s="4" t="str">
        <f t="shared" si="1"/>
        <v>AMG333</v>
      </c>
      <c r="D7" s="4" t="str">
        <f t="shared" si="2"/>
        <v>VGLUT2</v>
      </c>
      <c r="E7">
        <v>59</v>
      </c>
      <c r="F7">
        <v>1</v>
      </c>
      <c r="G7">
        <v>1</v>
      </c>
      <c r="H7">
        <v>0</v>
      </c>
      <c r="I7">
        <f t="shared" si="3"/>
        <v>1</v>
      </c>
      <c r="J7">
        <v>2</v>
      </c>
      <c r="K7">
        <v>2</v>
      </c>
      <c r="L7">
        <v>0</v>
      </c>
      <c r="M7">
        <v>2</v>
      </c>
      <c r="N7">
        <v>7</v>
      </c>
      <c r="O7">
        <v>0</v>
      </c>
      <c r="P7">
        <v>1</v>
      </c>
      <c r="Q7">
        <f t="shared" si="5"/>
        <v>1</v>
      </c>
      <c r="R7">
        <v>1</v>
      </c>
      <c r="S7">
        <f t="shared" si="10"/>
        <v>4</v>
      </c>
      <c r="T7">
        <f t="shared" si="11"/>
        <v>10</v>
      </c>
      <c r="U7" s="1">
        <f t="shared" si="6"/>
        <v>50</v>
      </c>
      <c r="V7" s="1">
        <f t="shared" si="7"/>
        <v>28.571428571428569</v>
      </c>
      <c r="W7" s="1">
        <f t="shared" si="8"/>
        <v>100</v>
      </c>
      <c r="X7" s="1">
        <f t="shared" si="9"/>
        <v>40</v>
      </c>
    </row>
    <row r="8" spans="1:24" x14ac:dyDescent="0.2">
      <c r="A8" s="4" t="s">
        <v>17</v>
      </c>
      <c r="B8" s="4" t="str">
        <f t="shared" si="0"/>
        <v>Cold Pain</v>
      </c>
      <c r="C8" s="4" t="str">
        <f t="shared" si="1"/>
        <v>AMG333</v>
      </c>
      <c r="D8" s="4" t="str">
        <f t="shared" si="2"/>
        <v>VGLUT2</v>
      </c>
      <c r="E8" s="16">
        <v>60</v>
      </c>
      <c r="F8">
        <v>1</v>
      </c>
      <c r="G8">
        <v>1</v>
      </c>
      <c r="H8">
        <v>0</v>
      </c>
      <c r="I8">
        <f t="shared" si="3"/>
        <v>1</v>
      </c>
      <c r="J8">
        <v>2</v>
      </c>
      <c r="K8">
        <v>1</v>
      </c>
      <c r="L8">
        <v>0</v>
      </c>
      <c r="M8">
        <f t="shared" si="4"/>
        <v>1</v>
      </c>
      <c r="N8">
        <v>3</v>
      </c>
      <c r="O8">
        <v>0</v>
      </c>
      <c r="P8">
        <v>3</v>
      </c>
      <c r="Q8">
        <f t="shared" si="5"/>
        <v>3</v>
      </c>
      <c r="R8">
        <v>3</v>
      </c>
      <c r="S8">
        <f t="shared" si="10"/>
        <v>5</v>
      </c>
      <c r="T8">
        <f t="shared" si="11"/>
        <v>8</v>
      </c>
      <c r="U8" s="1">
        <f t="shared" si="6"/>
        <v>50</v>
      </c>
      <c r="V8" s="1">
        <f t="shared" si="7"/>
        <v>33.333333333333329</v>
      </c>
      <c r="W8" s="1">
        <f t="shared" si="8"/>
        <v>100</v>
      </c>
      <c r="X8" s="1">
        <f t="shared" si="9"/>
        <v>62.5</v>
      </c>
    </row>
    <row r="9" spans="1:24" x14ac:dyDescent="0.2">
      <c r="A9" s="3" t="s">
        <v>18</v>
      </c>
      <c r="B9" s="3" t="str">
        <f t="shared" si="0"/>
        <v>Cold Pain</v>
      </c>
      <c r="C9" s="3" t="str">
        <f t="shared" si="1"/>
        <v>AMG333 + TRPM2-KO</v>
      </c>
      <c r="D9" s="3" t="str">
        <f t="shared" si="2"/>
        <v>VGLUT2</v>
      </c>
      <c r="E9">
        <v>12</v>
      </c>
      <c r="F9">
        <v>1</v>
      </c>
      <c r="G9">
        <v>0</v>
      </c>
      <c r="H9">
        <v>0</v>
      </c>
      <c r="I9">
        <f t="shared" si="3"/>
        <v>0</v>
      </c>
      <c r="J9">
        <v>0</v>
      </c>
      <c r="K9">
        <v>4</v>
      </c>
      <c r="L9">
        <v>0</v>
      </c>
      <c r="M9">
        <v>4</v>
      </c>
      <c r="N9">
        <v>6</v>
      </c>
      <c r="O9">
        <v>0</v>
      </c>
      <c r="P9">
        <v>2</v>
      </c>
      <c r="Q9">
        <f t="shared" si="5"/>
        <v>2</v>
      </c>
      <c r="R9">
        <v>6</v>
      </c>
      <c r="S9">
        <f t="shared" si="10"/>
        <v>6</v>
      </c>
      <c r="T9">
        <f t="shared" si="11"/>
        <v>12</v>
      </c>
      <c r="U9" s="1">
        <v>0</v>
      </c>
      <c r="V9" s="1">
        <f t="shared" si="7"/>
        <v>66.666666666666657</v>
      </c>
      <c r="W9" s="1">
        <f t="shared" si="8"/>
        <v>33.333333333333329</v>
      </c>
      <c r="X9" s="1">
        <f t="shared" si="9"/>
        <v>50</v>
      </c>
    </row>
    <row r="10" spans="1:24" x14ac:dyDescent="0.2">
      <c r="A10" s="3" t="s">
        <v>18</v>
      </c>
      <c r="B10" s="3" t="str">
        <f t="shared" si="0"/>
        <v>Cold Pain</v>
      </c>
      <c r="C10" s="3" t="str">
        <f t="shared" si="1"/>
        <v>AMG333 + TRPM2-KO</v>
      </c>
      <c r="D10" s="3" t="str">
        <f t="shared" si="2"/>
        <v>VGLUT2</v>
      </c>
      <c r="E10">
        <v>21.5</v>
      </c>
      <c r="F10">
        <v>1</v>
      </c>
      <c r="G10">
        <v>0</v>
      </c>
      <c r="H10">
        <v>0</v>
      </c>
      <c r="I10">
        <f t="shared" si="3"/>
        <v>0</v>
      </c>
      <c r="J10">
        <v>2</v>
      </c>
      <c r="K10">
        <v>0</v>
      </c>
      <c r="L10">
        <v>1</v>
      </c>
      <c r="M10">
        <f t="shared" si="4"/>
        <v>1</v>
      </c>
      <c r="N10">
        <v>16</v>
      </c>
      <c r="O10">
        <v>2</v>
      </c>
      <c r="P10">
        <v>0</v>
      </c>
      <c r="Q10">
        <f t="shared" si="5"/>
        <v>2</v>
      </c>
      <c r="R10">
        <v>5</v>
      </c>
      <c r="S10">
        <f>SUM($I10 + $M10 + $Q10 )</f>
        <v>3</v>
      </c>
      <c r="T10">
        <f t="shared" si="11"/>
        <v>23</v>
      </c>
      <c r="U10" s="1">
        <f t="shared" si="6"/>
        <v>0</v>
      </c>
      <c r="V10" s="1">
        <f t="shared" si="7"/>
        <v>6.25</v>
      </c>
      <c r="W10" s="1">
        <f t="shared" si="8"/>
        <v>40</v>
      </c>
      <c r="X10" s="1">
        <f t="shared" si="9"/>
        <v>13.043478260869565</v>
      </c>
    </row>
    <row r="11" spans="1:24" x14ac:dyDescent="0.2">
      <c r="A11" s="3" t="s">
        <v>18</v>
      </c>
      <c r="B11" s="3" t="str">
        <f t="shared" si="0"/>
        <v>Cold Pain</v>
      </c>
      <c r="C11" s="3" t="str">
        <f t="shared" si="1"/>
        <v>AMG333 + TRPM2-KO</v>
      </c>
      <c r="D11" s="3" t="str">
        <f t="shared" si="2"/>
        <v>VGLUT2</v>
      </c>
      <c r="E11">
        <v>29</v>
      </c>
      <c r="F11">
        <v>1</v>
      </c>
      <c r="G11">
        <v>0</v>
      </c>
      <c r="H11">
        <v>1</v>
      </c>
      <c r="I11">
        <f t="shared" si="3"/>
        <v>1</v>
      </c>
      <c r="J11">
        <v>1</v>
      </c>
      <c r="K11">
        <v>8</v>
      </c>
      <c r="L11">
        <v>4</v>
      </c>
      <c r="M11">
        <f t="shared" si="4"/>
        <v>12</v>
      </c>
      <c r="N11">
        <v>13</v>
      </c>
      <c r="O11">
        <v>0</v>
      </c>
      <c r="P11">
        <v>0</v>
      </c>
      <c r="Q11">
        <f t="shared" si="5"/>
        <v>0</v>
      </c>
      <c r="R11">
        <v>6</v>
      </c>
      <c r="S11">
        <f t="shared" si="10"/>
        <v>13</v>
      </c>
      <c r="T11">
        <f t="shared" si="11"/>
        <v>20</v>
      </c>
      <c r="U11" s="1">
        <f t="shared" si="6"/>
        <v>100</v>
      </c>
      <c r="V11" s="1">
        <f t="shared" si="7"/>
        <v>92.307692307692307</v>
      </c>
      <c r="W11" s="1">
        <f t="shared" si="8"/>
        <v>0</v>
      </c>
      <c r="X11" s="1">
        <f t="shared" si="9"/>
        <v>65</v>
      </c>
    </row>
    <row r="12" spans="1:24" x14ac:dyDescent="0.2">
      <c r="A12" s="3" t="s">
        <v>18</v>
      </c>
      <c r="B12" s="3" t="str">
        <f t="shared" si="0"/>
        <v>Cold Pain</v>
      </c>
      <c r="C12" s="3" t="str">
        <f t="shared" si="1"/>
        <v>AMG333 + TRPM2-KO</v>
      </c>
      <c r="D12" s="3" t="str">
        <f t="shared" si="2"/>
        <v>VGLUT2</v>
      </c>
      <c r="E12">
        <v>38</v>
      </c>
      <c r="F12">
        <v>1</v>
      </c>
      <c r="G12">
        <v>0</v>
      </c>
      <c r="H12">
        <v>2</v>
      </c>
      <c r="I12">
        <f t="shared" si="3"/>
        <v>2</v>
      </c>
      <c r="J12">
        <v>2</v>
      </c>
      <c r="K12">
        <v>4</v>
      </c>
      <c r="L12">
        <v>0</v>
      </c>
      <c r="M12">
        <f t="shared" si="4"/>
        <v>4</v>
      </c>
      <c r="N12">
        <v>18</v>
      </c>
      <c r="O12">
        <v>3</v>
      </c>
      <c r="P12">
        <v>0</v>
      </c>
      <c r="Q12">
        <f t="shared" si="5"/>
        <v>3</v>
      </c>
      <c r="R12">
        <v>9</v>
      </c>
      <c r="S12">
        <f t="shared" si="10"/>
        <v>9</v>
      </c>
      <c r="T12">
        <f t="shared" si="11"/>
        <v>29</v>
      </c>
      <c r="U12" s="1">
        <f t="shared" si="6"/>
        <v>100</v>
      </c>
      <c r="V12" s="1">
        <f t="shared" si="7"/>
        <v>22.222222222222221</v>
      </c>
      <c r="W12" s="1">
        <f t="shared" si="8"/>
        <v>33.333333333333329</v>
      </c>
      <c r="X12" s="1">
        <f t="shared" si="9"/>
        <v>31.03448275862069</v>
      </c>
    </row>
    <row r="13" spans="1:24" x14ac:dyDescent="0.2">
      <c r="A13" s="4" t="s">
        <v>20</v>
      </c>
      <c r="B13" s="4" t="str">
        <f t="shared" si="0"/>
        <v>Cold Allodynia</v>
      </c>
      <c r="C13" s="4" t="str">
        <f t="shared" si="1"/>
        <v>AMG333</v>
      </c>
      <c r="D13" s="4" t="str">
        <f t="shared" si="2"/>
        <v>VGLUT2</v>
      </c>
      <c r="E13">
        <v>15</v>
      </c>
      <c r="F13">
        <v>1</v>
      </c>
      <c r="G13">
        <v>5</v>
      </c>
      <c r="H13">
        <v>0</v>
      </c>
      <c r="I13">
        <f t="shared" si="3"/>
        <v>5</v>
      </c>
      <c r="J13">
        <v>8</v>
      </c>
      <c r="K13">
        <v>4</v>
      </c>
      <c r="L13">
        <v>2</v>
      </c>
      <c r="M13">
        <f t="shared" si="4"/>
        <v>6</v>
      </c>
      <c r="N13">
        <v>18</v>
      </c>
      <c r="O13">
        <v>6</v>
      </c>
      <c r="P13">
        <v>4</v>
      </c>
      <c r="Q13">
        <f t="shared" si="5"/>
        <v>10</v>
      </c>
      <c r="R13">
        <v>16</v>
      </c>
      <c r="S13">
        <f t="shared" si="10"/>
        <v>21</v>
      </c>
      <c r="T13">
        <f t="shared" si="11"/>
        <v>42</v>
      </c>
      <c r="U13" s="1">
        <f t="shared" si="6"/>
        <v>62.5</v>
      </c>
      <c r="V13" s="1">
        <f t="shared" si="7"/>
        <v>33.333333333333329</v>
      </c>
      <c r="W13" s="1">
        <f t="shared" si="8"/>
        <v>62.5</v>
      </c>
      <c r="X13" s="1">
        <f t="shared" si="9"/>
        <v>50</v>
      </c>
    </row>
    <row r="14" spans="1:24" x14ac:dyDescent="0.2">
      <c r="A14" s="4" t="s">
        <v>20</v>
      </c>
      <c r="B14" s="4" t="str">
        <f t="shared" si="0"/>
        <v>Cold Allodynia</v>
      </c>
      <c r="C14" s="4" t="str">
        <f t="shared" si="1"/>
        <v>AMG333</v>
      </c>
      <c r="D14" s="4" t="str">
        <f t="shared" si="2"/>
        <v>VGLUT2</v>
      </c>
      <c r="E14">
        <v>30</v>
      </c>
      <c r="F14">
        <v>1</v>
      </c>
      <c r="G14">
        <v>10</v>
      </c>
      <c r="H14">
        <v>3</v>
      </c>
      <c r="I14">
        <f t="shared" si="3"/>
        <v>13</v>
      </c>
      <c r="J14">
        <v>18</v>
      </c>
      <c r="K14">
        <v>7</v>
      </c>
      <c r="L14">
        <v>4</v>
      </c>
      <c r="M14">
        <f t="shared" si="4"/>
        <v>11</v>
      </c>
      <c r="N14">
        <v>17</v>
      </c>
      <c r="O14">
        <v>3</v>
      </c>
      <c r="P14">
        <v>6</v>
      </c>
      <c r="Q14">
        <v>9</v>
      </c>
      <c r="R14">
        <v>13</v>
      </c>
      <c r="S14">
        <f t="shared" si="10"/>
        <v>33</v>
      </c>
      <c r="T14">
        <f t="shared" si="11"/>
        <v>48</v>
      </c>
      <c r="U14" s="1">
        <f t="shared" si="6"/>
        <v>72.222222222222214</v>
      </c>
      <c r="V14" s="1">
        <f t="shared" si="7"/>
        <v>64.705882352941174</v>
      </c>
      <c r="W14" s="1">
        <f t="shared" si="8"/>
        <v>69.230769230769226</v>
      </c>
      <c r="X14" s="1">
        <f t="shared" si="9"/>
        <v>68.75</v>
      </c>
    </row>
    <row r="15" spans="1:24" x14ac:dyDescent="0.2">
      <c r="A15" s="4" t="s">
        <v>20</v>
      </c>
      <c r="B15" s="4" t="str">
        <f t="shared" si="0"/>
        <v>Cold Allodynia</v>
      </c>
      <c r="C15" s="4" t="str">
        <f t="shared" si="1"/>
        <v>AMG333</v>
      </c>
      <c r="D15" s="4" t="str">
        <f t="shared" si="2"/>
        <v>VGLUT2</v>
      </c>
      <c r="E15">
        <v>45</v>
      </c>
      <c r="F15">
        <v>1</v>
      </c>
      <c r="G15">
        <v>10</v>
      </c>
      <c r="H15">
        <v>2</v>
      </c>
      <c r="I15">
        <f t="shared" si="3"/>
        <v>12</v>
      </c>
      <c r="J15">
        <v>13</v>
      </c>
      <c r="K15">
        <v>10</v>
      </c>
      <c r="L15">
        <v>4</v>
      </c>
      <c r="M15">
        <f t="shared" si="4"/>
        <v>14</v>
      </c>
      <c r="N15">
        <v>18</v>
      </c>
      <c r="O15">
        <v>5</v>
      </c>
      <c r="P15">
        <v>3</v>
      </c>
      <c r="Q15">
        <f t="shared" si="5"/>
        <v>8</v>
      </c>
      <c r="R15">
        <v>15</v>
      </c>
      <c r="S15">
        <f t="shared" si="10"/>
        <v>34</v>
      </c>
      <c r="T15">
        <f t="shared" si="11"/>
        <v>46</v>
      </c>
      <c r="U15" s="1">
        <f t="shared" si="6"/>
        <v>92.307692307692307</v>
      </c>
      <c r="V15" s="1">
        <f t="shared" si="7"/>
        <v>77.777777777777786</v>
      </c>
      <c r="W15" s="1">
        <f t="shared" si="8"/>
        <v>53.333333333333336</v>
      </c>
      <c r="X15" s="1">
        <f t="shared" si="9"/>
        <v>73.91304347826086</v>
      </c>
    </row>
    <row r="16" spans="1:24" x14ac:dyDescent="0.2">
      <c r="A16" s="4" t="s">
        <v>20</v>
      </c>
      <c r="B16" s="4" t="str">
        <f t="shared" si="0"/>
        <v>Cold Allodynia</v>
      </c>
      <c r="C16" s="4" t="str">
        <f t="shared" si="1"/>
        <v>AMG333</v>
      </c>
      <c r="D16" s="4" t="str">
        <f t="shared" si="2"/>
        <v>VGLUT2</v>
      </c>
      <c r="E16">
        <v>52</v>
      </c>
      <c r="F16">
        <v>1</v>
      </c>
      <c r="G16">
        <v>3</v>
      </c>
      <c r="H16">
        <v>0</v>
      </c>
      <c r="I16">
        <f t="shared" si="3"/>
        <v>3</v>
      </c>
      <c r="J16">
        <v>6</v>
      </c>
      <c r="K16">
        <v>2</v>
      </c>
      <c r="L16">
        <v>1</v>
      </c>
      <c r="M16">
        <f t="shared" si="4"/>
        <v>3</v>
      </c>
      <c r="N16">
        <v>5</v>
      </c>
      <c r="O16">
        <v>0</v>
      </c>
      <c r="P16">
        <v>4</v>
      </c>
      <c r="Q16">
        <f t="shared" si="5"/>
        <v>4</v>
      </c>
      <c r="R16">
        <v>11</v>
      </c>
      <c r="S16">
        <f t="shared" si="10"/>
        <v>10</v>
      </c>
      <c r="T16">
        <f t="shared" si="11"/>
        <v>22</v>
      </c>
      <c r="U16" s="1">
        <f t="shared" si="6"/>
        <v>50</v>
      </c>
      <c r="V16" s="1">
        <f t="shared" si="7"/>
        <v>60</v>
      </c>
      <c r="W16" s="1">
        <f t="shared" si="8"/>
        <v>36.363636363636367</v>
      </c>
      <c r="X16" s="1">
        <f t="shared" si="9"/>
        <v>45.454545454545453</v>
      </c>
    </row>
    <row r="17" spans="1:24" x14ac:dyDescent="0.2">
      <c r="A17" s="2" t="s">
        <v>21</v>
      </c>
      <c r="B17" s="2" t="str">
        <f t="shared" si="0"/>
        <v>Cold Allodynia</v>
      </c>
      <c r="C17" s="2" t="str">
        <f t="shared" si="1"/>
        <v>TRPM2-KO</v>
      </c>
      <c r="D17" s="2" t="str">
        <f t="shared" si="2"/>
        <v>VGLUT2</v>
      </c>
      <c r="E17">
        <v>3</v>
      </c>
      <c r="F17">
        <v>1</v>
      </c>
      <c r="G17">
        <v>1</v>
      </c>
      <c r="H17">
        <v>0</v>
      </c>
      <c r="I17">
        <f t="shared" si="3"/>
        <v>1</v>
      </c>
      <c r="J17">
        <v>1</v>
      </c>
      <c r="K17">
        <v>0</v>
      </c>
      <c r="L17">
        <v>5</v>
      </c>
      <c r="M17">
        <f t="shared" si="4"/>
        <v>5</v>
      </c>
      <c r="N17">
        <v>7</v>
      </c>
      <c r="O17">
        <v>0</v>
      </c>
      <c r="P17">
        <v>6</v>
      </c>
      <c r="Q17">
        <f t="shared" si="5"/>
        <v>6</v>
      </c>
      <c r="R17">
        <v>11</v>
      </c>
      <c r="S17">
        <f t="shared" si="10"/>
        <v>12</v>
      </c>
      <c r="T17">
        <f t="shared" si="11"/>
        <v>19</v>
      </c>
      <c r="U17" s="1">
        <f t="shared" si="6"/>
        <v>100</v>
      </c>
      <c r="V17" s="1">
        <f t="shared" si="7"/>
        <v>71.428571428571431</v>
      </c>
      <c r="W17" s="1">
        <f t="shared" si="8"/>
        <v>54.54545454545454</v>
      </c>
      <c r="X17" s="1">
        <f t="shared" si="9"/>
        <v>63.157894736842103</v>
      </c>
    </row>
    <row r="18" spans="1:24" x14ac:dyDescent="0.2">
      <c r="A18" s="2" t="s">
        <v>21</v>
      </c>
      <c r="B18" s="2" t="str">
        <f t="shared" si="0"/>
        <v>Cold Allodynia</v>
      </c>
      <c r="C18" s="2" t="str">
        <f t="shared" si="1"/>
        <v>TRPM2-KO</v>
      </c>
      <c r="D18" s="2" t="str">
        <f t="shared" si="2"/>
        <v>VGLUT2</v>
      </c>
      <c r="E18">
        <v>14</v>
      </c>
      <c r="F18">
        <v>1</v>
      </c>
      <c r="G18">
        <v>0</v>
      </c>
      <c r="H18">
        <v>2</v>
      </c>
      <c r="I18">
        <f t="shared" si="3"/>
        <v>2</v>
      </c>
      <c r="J18">
        <v>4</v>
      </c>
      <c r="K18">
        <v>2</v>
      </c>
      <c r="L18">
        <v>3</v>
      </c>
      <c r="M18">
        <f t="shared" si="4"/>
        <v>5</v>
      </c>
      <c r="N18">
        <v>8</v>
      </c>
      <c r="O18">
        <v>0</v>
      </c>
      <c r="P18">
        <v>3</v>
      </c>
      <c r="Q18">
        <f t="shared" si="5"/>
        <v>3</v>
      </c>
      <c r="R18">
        <v>7</v>
      </c>
      <c r="S18">
        <f t="shared" si="10"/>
        <v>10</v>
      </c>
      <c r="T18">
        <f t="shared" si="11"/>
        <v>19</v>
      </c>
      <c r="U18" s="1">
        <f t="shared" si="6"/>
        <v>50</v>
      </c>
      <c r="V18" s="1">
        <f t="shared" si="7"/>
        <v>62.5</v>
      </c>
      <c r="W18" s="1">
        <f t="shared" si="8"/>
        <v>42.857142857142854</v>
      </c>
      <c r="X18" s="1">
        <f t="shared" si="9"/>
        <v>52.631578947368418</v>
      </c>
    </row>
    <row r="19" spans="1:24" x14ac:dyDescent="0.2">
      <c r="A19" s="2" t="s">
        <v>21</v>
      </c>
      <c r="B19" s="2" t="str">
        <f t="shared" si="0"/>
        <v>Cold Allodynia</v>
      </c>
      <c r="C19" s="2" t="str">
        <f t="shared" si="1"/>
        <v>TRPM2-KO</v>
      </c>
      <c r="D19" s="2" t="str">
        <f t="shared" si="2"/>
        <v>VGLUT2</v>
      </c>
      <c r="E19">
        <v>24</v>
      </c>
      <c r="F19">
        <v>1</v>
      </c>
      <c r="G19">
        <v>2</v>
      </c>
      <c r="H19">
        <v>0</v>
      </c>
      <c r="I19">
        <f t="shared" si="3"/>
        <v>2</v>
      </c>
      <c r="J19">
        <v>5</v>
      </c>
      <c r="K19">
        <v>4</v>
      </c>
      <c r="L19">
        <v>0</v>
      </c>
      <c r="M19">
        <f t="shared" si="4"/>
        <v>4</v>
      </c>
      <c r="N19">
        <v>9</v>
      </c>
      <c r="O19">
        <v>3</v>
      </c>
      <c r="P19">
        <v>2</v>
      </c>
      <c r="Q19">
        <f t="shared" si="5"/>
        <v>5</v>
      </c>
      <c r="R19">
        <v>7</v>
      </c>
      <c r="S19">
        <f t="shared" si="10"/>
        <v>11</v>
      </c>
      <c r="T19">
        <f t="shared" si="11"/>
        <v>21</v>
      </c>
      <c r="U19" s="1">
        <f t="shared" si="6"/>
        <v>40</v>
      </c>
      <c r="V19" s="1">
        <f t="shared" si="7"/>
        <v>44.444444444444443</v>
      </c>
      <c r="W19" s="1">
        <f t="shared" si="8"/>
        <v>71.428571428571431</v>
      </c>
      <c r="X19" s="1">
        <f t="shared" si="9"/>
        <v>52.380952380952387</v>
      </c>
    </row>
    <row r="20" spans="1:24" x14ac:dyDescent="0.2">
      <c r="A20" s="2" t="s">
        <v>21</v>
      </c>
      <c r="B20" s="2" t="str">
        <f t="shared" si="0"/>
        <v>Cold Allodynia</v>
      </c>
      <c r="C20" s="2" t="str">
        <f t="shared" si="1"/>
        <v>TRPM2-KO</v>
      </c>
      <c r="D20" s="2" t="str">
        <f t="shared" si="2"/>
        <v>VGLUT2</v>
      </c>
      <c r="E20" s="16">
        <v>25</v>
      </c>
      <c r="F20">
        <v>1</v>
      </c>
      <c r="G20">
        <v>6</v>
      </c>
      <c r="H20">
        <v>0</v>
      </c>
      <c r="I20">
        <f t="shared" si="3"/>
        <v>6</v>
      </c>
      <c r="J20">
        <v>7</v>
      </c>
      <c r="K20">
        <v>10</v>
      </c>
      <c r="L20">
        <v>6</v>
      </c>
      <c r="M20">
        <f t="shared" si="4"/>
        <v>16</v>
      </c>
      <c r="N20">
        <v>20</v>
      </c>
      <c r="O20">
        <v>1</v>
      </c>
      <c r="P20">
        <v>3</v>
      </c>
      <c r="Q20">
        <f t="shared" si="5"/>
        <v>4</v>
      </c>
      <c r="R20">
        <v>7</v>
      </c>
      <c r="S20">
        <f t="shared" si="10"/>
        <v>26</v>
      </c>
      <c r="T20">
        <f t="shared" si="11"/>
        <v>34</v>
      </c>
      <c r="U20" s="1">
        <f t="shared" si="6"/>
        <v>85.714285714285708</v>
      </c>
      <c r="V20" s="1">
        <f t="shared" si="7"/>
        <v>80</v>
      </c>
      <c r="W20" s="1">
        <f t="shared" si="8"/>
        <v>57.142857142857139</v>
      </c>
      <c r="X20" s="1">
        <f t="shared" si="9"/>
        <v>76.470588235294116</v>
      </c>
    </row>
    <row r="21" spans="1:24" x14ac:dyDescent="0.2">
      <c r="A21" s="3" t="s">
        <v>22</v>
      </c>
      <c r="B21" s="3" t="str">
        <f t="shared" si="0"/>
        <v>Cold Allodynia</v>
      </c>
      <c r="C21" s="3" t="str">
        <f t="shared" si="1"/>
        <v>AMG333 + TRPM2-KO</v>
      </c>
      <c r="D21" s="3" t="str">
        <f t="shared" si="2"/>
        <v>VGLUT2</v>
      </c>
      <c r="E21">
        <v>8</v>
      </c>
      <c r="F21">
        <v>1</v>
      </c>
      <c r="G21">
        <v>1</v>
      </c>
      <c r="H21">
        <v>0</v>
      </c>
      <c r="I21">
        <f t="shared" si="3"/>
        <v>1</v>
      </c>
      <c r="J21">
        <v>1</v>
      </c>
      <c r="K21">
        <v>3</v>
      </c>
      <c r="L21">
        <v>4</v>
      </c>
      <c r="M21">
        <f t="shared" si="4"/>
        <v>7</v>
      </c>
      <c r="N21">
        <v>11</v>
      </c>
      <c r="O21">
        <v>1</v>
      </c>
      <c r="P21">
        <v>0</v>
      </c>
      <c r="Q21">
        <f t="shared" si="5"/>
        <v>1</v>
      </c>
      <c r="R21">
        <v>3</v>
      </c>
      <c r="S21">
        <f t="shared" si="10"/>
        <v>9</v>
      </c>
      <c r="T21">
        <f t="shared" si="11"/>
        <v>15</v>
      </c>
      <c r="U21" s="1">
        <f t="shared" si="6"/>
        <v>100</v>
      </c>
      <c r="V21" s="1">
        <f t="shared" si="7"/>
        <v>63.636363636363633</v>
      </c>
      <c r="W21" s="1">
        <f t="shared" si="8"/>
        <v>33.333333333333329</v>
      </c>
      <c r="X21" s="1">
        <f t="shared" si="9"/>
        <v>60</v>
      </c>
    </row>
    <row r="22" spans="1:24" x14ac:dyDescent="0.2">
      <c r="A22" s="3" t="s">
        <v>22</v>
      </c>
      <c r="B22" s="3" t="str">
        <f t="shared" si="0"/>
        <v>Cold Allodynia</v>
      </c>
      <c r="C22" s="3" t="str">
        <f t="shared" si="1"/>
        <v>AMG333 + TRPM2-KO</v>
      </c>
      <c r="D22" s="3" t="str">
        <f t="shared" si="2"/>
        <v>VGLUT2</v>
      </c>
      <c r="E22">
        <v>19</v>
      </c>
      <c r="F22">
        <v>1</v>
      </c>
      <c r="G22">
        <v>4</v>
      </c>
      <c r="H22">
        <v>1</v>
      </c>
      <c r="I22">
        <f t="shared" si="3"/>
        <v>5</v>
      </c>
      <c r="J22">
        <v>7</v>
      </c>
      <c r="K22">
        <v>1</v>
      </c>
      <c r="L22">
        <v>7</v>
      </c>
      <c r="M22">
        <f t="shared" si="4"/>
        <v>8</v>
      </c>
      <c r="N22">
        <v>22</v>
      </c>
      <c r="O22">
        <v>3</v>
      </c>
      <c r="P22">
        <v>2</v>
      </c>
      <c r="Q22">
        <f t="shared" si="5"/>
        <v>5</v>
      </c>
      <c r="R22">
        <v>9</v>
      </c>
      <c r="S22">
        <f t="shared" si="10"/>
        <v>18</v>
      </c>
      <c r="T22">
        <f t="shared" si="11"/>
        <v>38</v>
      </c>
      <c r="U22" s="1">
        <f t="shared" si="6"/>
        <v>71.428571428571431</v>
      </c>
      <c r="V22" s="1">
        <f t="shared" si="7"/>
        <v>36.363636363636367</v>
      </c>
      <c r="W22" s="1">
        <f t="shared" si="8"/>
        <v>55.555555555555557</v>
      </c>
      <c r="X22" s="1">
        <f t="shared" si="9"/>
        <v>47.368421052631575</v>
      </c>
    </row>
    <row r="23" spans="1:24" x14ac:dyDescent="0.2">
      <c r="A23" s="3" t="s">
        <v>22</v>
      </c>
      <c r="B23" s="3" t="str">
        <f t="shared" si="0"/>
        <v>Cold Allodynia</v>
      </c>
      <c r="C23" s="3" t="str">
        <f t="shared" si="1"/>
        <v>AMG333 + TRPM2-KO</v>
      </c>
      <c r="D23" s="3" t="str">
        <f t="shared" si="2"/>
        <v>VGLUT2</v>
      </c>
      <c r="E23">
        <v>30</v>
      </c>
      <c r="F23">
        <v>1</v>
      </c>
      <c r="G23">
        <v>2</v>
      </c>
      <c r="H23">
        <v>2</v>
      </c>
      <c r="I23">
        <f t="shared" si="3"/>
        <v>4</v>
      </c>
      <c r="J23">
        <v>7</v>
      </c>
      <c r="K23">
        <v>2</v>
      </c>
      <c r="L23">
        <v>0</v>
      </c>
      <c r="M23">
        <f t="shared" si="4"/>
        <v>2</v>
      </c>
      <c r="N23">
        <v>4</v>
      </c>
      <c r="O23">
        <v>3</v>
      </c>
      <c r="P23">
        <v>2</v>
      </c>
      <c r="Q23">
        <f t="shared" si="5"/>
        <v>5</v>
      </c>
      <c r="R23">
        <v>11</v>
      </c>
      <c r="S23">
        <f t="shared" si="10"/>
        <v>11</v>
      </c>
      <c r="T23">
        <f t="shared" si="11"/>
        <v>22</v>
      </c>
      <c r="U23" s="1">
        <f t="shared" si="6"/>
        <v>57.142857142857139</v>
      </c>
      <c r="V23" s="1">
        <f t="shared" si="7"/>
        <v>50</v>
      </c>
      <c r="W23" s="1">
        <f t="shared" si="8"/>
        <v>45.454545454545453</v>
      </c>
      <c r="X23" s="1">
        <f t="shared" si="9"/>
        <v>50</v>
      </c>
    </row>
    <row r="24" spans="1:24" x14ac:dyDescent="0.2">
      <c r="A24" s="3" t="s">
        <v>22</v>
      </c>
      <c r="B24" s="3" t="str">
        <f t="shared" si="0"/>
        <v>Cold Allodynia</v>
      </c>
      <c r="C24" s="3" t="str">
        <f t="shared" si="1"/>
        <v>AMG333 + TRPM2-KO</v>
      </c>
      <c r="D24" s="3" t="str">
        <f t="shared" si="2"/>
        <v>VGLUT2</v>
      </c>
      <c r="E24">
        <v>40</v>
      </c>
      <c r="F24">
        <v>1</v>
      </c>
      <c r="G24">
        <v>0</v>
      </c>
      <c r="H24">
        <v>0</v>
      </c>
      <c r="I24">
        <f t="shared" si="3"/>
        <v>0</v>
      </c>
      <c r="J24">
        <v>0</v>
      </c>
      <c r="K24">
        <v>1</v>
      </c>
      <c r="L24">
        <v>1</v>
      </c>
      <c r="M24">
        <f t="shared" si="4"/>
        <v>2</v>
      </c>
      <c r="N24">
        <v>3</v>
      </c>
      <c r="O24">
        <v>1</v>
      </c>
      <c r="P24">
        <v>0</v>
      </c>
      <c r="Q24">
        <f t="shared" si="5"/>
        <v>1</v>
      </c>
      <c r="R24">
        <v>3</v>
      </c>
      <c r="S24">
        <f t="shared" si="10"/>
        <v>3</v>
      </c>
      <c r="T24">
        <f t="shared" si="11"/>
        <v>6</v>
      </c>
      <c r="U24" s="1">
        <v>0</v>
      </c>
      <c r="V24" s="1">
        <f t="shared" si="7"/>
        <v>66.666666666666657</v>
      </c>
      <c r="W24" s="1">
        <f t="shared" si="8"/>
        <v>33.333333333333329</v>
      </c>
      <c r="X24" s="1">
        <f t="shared" si="9"/>
        <v>50</v>
      </c>
    </row>
    <row r="25" spans="1:24" x14ac:dyDescent="0.2">
      <c r="A25" s="6" t="s">
        <v>25</v>
      </c>
      <c r="B25" s="6" t="s">
        <v>40</v>
      </c>
      <c r="C25" s="6" t="s">
        <v>33</v>
      </c>
      <c r="D25" s="6" t="s">
        <v>45</v>
      </c>
      <c r="E25">
        <v>2</v>
      </c>
      <c r="F25">
        <v>1</v>
      </c>
      <c r="G25">
        <v>1</v>
      </c>
      <c r="H25">
        <v>0</v>
      </c>
      <c r="I25">
        <f t="shared" si="3"/>
        <v>1</v>
      </c>
      <c r="J25">
        <v>5</v>
      </c>
      <c r="K25">
        <v>0</v>
      </c>
      <c r="L25">
        <v>1</v>
      </c>
      <c r="M25">
        <f t="shared" ref="M25:M50" si="12">SUM(K25+L25)</f>
        <v>1</v>
      </c>
      <c r="N25">
        <v>5</v>
      </c>
      <c r="O25">
        <v>0</v>
      </c>
      <c r="P25">
        <v>1</v>
      </c>
      <c r="Q25">
        <f t="shared" ref="Q25:Q50" si="13">SUM(O25+P25)</f>
        <v>1</v>
      </c>
      <c r="R25">
        <v>11</v>
      </c>
      <c r="S25">
        <f t="shared" ref="S25:T50" si="14">SUM(I25+M25+Q25)</f>
        <v>3</v>
      </c>
      <c r="T25">
        <f>SUM(J25+N25+R25)</f>
        <v>21</v>
      </c>
      <c r="U25" s="1">
        <f t="shared" si="6"/>
        <v>20</v>
      </c>
      <c r="V25" s="1">
        <f t="shared" si="7"/>
        <v>20</v>
      </c>
      <c r="W25" s="1">
        <f t="shared" si="8"/>
        <v>9.0909090909090917</v>
      </c>
      <c r="X25" s="1">
        <f>SUM(S25/T25)*100</f>
        <v>14.285714285714285</v>
      </c>
    </row>
    <row r="26" spans="1:24" x14ac:dyDescent="0.2">
      <c r="A26" s="6" t="s">
        <v>25</v>
      </c>
      <c r="B26" s="7" t="s">
        <v>40</v>
      </c>
      <c r="C26" s="7" t="s">
        <v>33</v>
      </c>
      <c r="D26" s="7" t="s">
        <v>45</v>
      </c>
      <c r="E26">
        <v>23</v>
      </c>
      <c r="F26">
        <v>1</v>
      </c>
      <c r="G26">
        <v>1</v>
      </c>
      <c r="H26">
        <v>0</v>
      </c>
      <c r="I26">
        <f t="shared" si="3"/>
        <v>1</v>
      </c>
      <c r="J26">
        <v>21</v>
      </c>
      <c r="K26">
        <v>3</v>
      </c>
      <c r="L26">
        <v>1</v>
      </c>
      <c r="M26">
        <f t="shared" si="12"/>
        <v>4</v>
      </c>
      <c r="N26">
        <v>34</v>
      </c>
      <c r="O26">
        <v>2</v>
      </c>
      <c r="P26">
        <v>1</v>
      </c>
      <c r="Q26">
        <f t="shared" si="13"/>
        <v>3</v>
      </c>
      <c r="R26">
        <v>12</v>
      </c>
      <c r="S26">
        <f t="shared" si="14"/>
        <v>8</v>
      </c>
      <c r="T26">
        <f t="shared" si="14"/>
        <v>67</v>
      </c>
      <c r="U26" s="1">
        <f t="shared" si="6"/>
        <v>4.7619047619047619</v>
      </c>
      <c r="V26" s="1">
        <f t="shared" si="7"/>
        <v>11.76470588235294</v>
      </c>
      <c r="W26" s="1">
        <f t="shared" si="8"/>
        <v>25</v>
      </c>
      <c r="X26" s="1">
        <f t="shared" ref="X26:X50" si="15">SUM(S26/T26)*100</f>
        <v>11.940298507462686</v>
      </c>
    </row>
    <row r="27" spans="1:24" x14ac:dyDescent="0.2">
      <c r="A27" s="7" t="s">
        <v>25</v>
      </c>
      <c r="B27" s="7" t="s">
        <v>40</v>
      </c>
      <c r="C27" s="7" t="s">
        <v>33</v>
      </c>
      <c r="D27" s="7" t="s">
        <v>45</v>
      </c>
      <c r="E27">
        <v>13</v>
      </c>
      <c r="F27">
        <v>1</v>
      </c>
      <c r="G27">
        <v>1</v>
      </c>
      <c r="H27">
        <v>1</v>
      </c>
      <c r="I27">
        <f t="shared" si="3"/>
        <v>2</v>
      </c>
      <c r="J27">
        <v>13</v>
      </c>
      <c r="K27">
        <v>2</v>
      </c>
      <c r="L27">
        <v>2</v>
      </c>
      <c r="M27">
        <f t="shared" si="12"/>
        <v>4</v>
      </c>
      <c r="N27">
        <v>25</v>
      </c>
      <c r="O27">
        <v>1</v>
      </c>
      <c r="P27">
        <v>0</v>
      </c>
      <c r="Q27">
        <f t="shared" si="13"/>
        <v>1</v>
      </c>
      <c r="R27">
        <v>7</v>
      </c>
      <c r="S27">
        <f t="shared" si="14"/>
        <v>7</v>
      </c>
      <c r="T27">
        <f t="shared" si="14"/>
        <v>45</v>
      </c>
      <c r="U27" s="1">
        <f t="shared" si="6"/>
        <v>15.384615384615385</v>
      </c>
      <c r="V27" s="1">
        <f t="shared" si="7"/>
        <v>16</v>
      </c>
      <c r="W27" s="1">
        <f t="shared" si="8"/>
        <v>14.285714285714285</v>
      </c>
      <c r="X27" s="1">
        <f t="shared" si="15"/>
        <v>15.555555555555555</v>
      </c>
    </row>
    <row r="28" spans="1:24" x14ac:dyDescent="0.2">
      <c r="A28" s="6" t="s">
        <v>25</v>
      </c>
      <c r="B28" s="7" t="s">
        <v>40</v>
      </c>
      <c r="C28" s="7" t="s">
        <v>33</v>
      </c>
      <c r="D28" s="7" t="s">
        <v>45</v>
      </c>
      <c r="E28">
        <v>36</v>
      </c>
      <c r="F28">
        <v>1</v>
      </c>
      <c r="G28">
        <v>0</v>
      </c>
      <c r="H28">
        <v>1</v>
      </c>
      <c r="I28">
        <f t="shared" si="3"/>
        <v>1</v>
      </c>
      <c r="J28">
        <v>2</v>
      </c>
      <c r="K28">
        <v>0</v>
      </c>
      <c r="L28">
        <v>1</v>
      </c>
      <c r="M28">
        <f t="shared" si="12"/>
        <v>1</v>
      </c>
      <c r="N28">
        <v>3</v>
      </c>
      <c r="O28">
        <v>0</v>
      </c>
      <c r="P28">
        <v>1</v>
      </c>
      <c r="Q28">
        <f t="shared" si="13"/>
        <v>1</v>
      </c>
      <c r="R28">
        <v>3</v>
      </c>
      <c r="S28">
        <f t="shared" si="14"/>
        <v>3</v>
      </c>
      <c r="T28">
        <f t="shared" si="14"/>
        <v>8</v>
      </c>
      <c r="U28" s="1">
        <f t="shared" si="6"/>
        <v>50</v>
      </c>
      <c r="V28" s="1">
        <f t="shared" si="7"/>
        <v>33.333333333333329</v>
      </c>
      <c r="W28" s="1">
        <f t="shared" si="8"/>
        <v>33.333333333333329</v>
      </c>
      <c r="X28" s="1">
        <f t="shared" si="15"/>
        <v>37.5</v>
      </c>
    </row>
    <row r="29" spans="1:24" x14ac:dyDescent="0.2">
      <c r="A29" s="8" t="s">
        <v>26</v>
      </c>
      <c r="B29" s="9" t="s">
        <v>40</v>
      </c>
      <c r="C29" s="9" t="s">
        <v>36</v>
      </c>
      <c r="D29" s="9" t="s">
        <v>45</v>
      </c>
      <c r="E29">
        <v>10</v>
      </c>
      <c r="F29">
        <v>1</v>
      </c>
      <c r="G29">
        <v>1</v>
      </c>
      <c r="H29">
        <v>0</v>
      </c>
      <c r="I29">
        <f t="shared" si="3"/>
        <v>1</v>
      </c>
      <c r="J29">
        <v>6</v>
      </c>
      <c r="K29">
        <v>0</v>
      </c>
      <c r="L29">
        <v>2</v>
      </c>
      <c r="M29">
        <f t="shared" si="12"/>
        <v>2</v>
      </c>
      <c r="N29">
        <v>7</v>
      </c>
      <c r="O29">
        <v>0</v>
      </c>
      <c r="P29">
        <v>2</v>
      </c>
      <c r="Q29">
        <f t="shared" si="13"/>
        <v>2</v>
      </c>
      <c r="R29">
        <v>11</v>
      </c>
      <c r="S29">
        <f t="shared" si="14"/>
        <v>5</v>
      </c>
      <c r="T29">
        <f t="shared" si="14"/>
        <v>24</v>
      </c>
      <c r="U29" s="1">
        <f t="shared" si="6"/>
        <v>16.666666666666664</v>
      </c>
      <c r="V29" s="1">
        <f t="shared" si="7"/>
        <v>28.571428571428569</v>
      </c>
      <c r="W29" s="1">
        <f t="shared" si="8"/>
        <v>18.181818181818183</v>
      </c>
      <c r="X29" s="1">
        <f t="shared" si="15"/>
        <v>20.833333333333336</v>
      </c>
    </row>
    <row r="30" spans="1:24" x14ac:dyDescent="0.2">
      <c r="A30" s="8" t="s">
        <v>26</v>
      </c>
      <c r="B30" s="9" t="s">
        <v>40</v>
      </c>
      <c r="C30" s="9" t="s">
        <v>36</v>
      </c>
      <c r="D30" s="9" t="s">
        <v>45</v>
      </c>
      <c r="E30">
        <v>31</v>
      </c>
      <c r="F30">
        <v>1</v>
      </c>
      <c r="G30">
        <v>0</v>
      </c>
      <c r="H30">
        <v>0</v>
      </c>
      <c r="I30">
        <f t="shared" si="3"/>
        <v>0</v>
      </c>
      <c r="J30">
        <v>5</v>
      </c>
      <c r="K30">
        <v>0</v>
      </c>
      <c r="L30">
        <v>0</v>
      </c>
      <c r="M30">
        <f t="shared" si="12"/>
        <v>0</v>
      </c>
      <c r="N30">
        <v>2</v>
      </c>
      <c r="O30">
        <v>1</v>
      </c>
      <c r="P30">
        <v>0</v>
      </c>
      <c r="Q30">
        <f t="shared" si="13"/>
        <v>1</v>
      </c>
      <c r="R30">
        <v>9</v>
      </c>
      <c r="S30">
        <f t="shared" si="14"/>
        <v>1</v>
      </c>
      <c r="T30">
        <f t="shared" si="14"/>
        <v>16</v>
      </c>
      <c r="U30" s="1">
        <f t="shared" si="6"/>
        <v>0</v>
      </c>
      <c r="V30" s="1">
        <f t="shared" si="7"/>
        <v>0</v>
      </c>
      <c r="W30" s="1">
        <f t="shared" si="8"/>
        <v>11.111111111111111</v>
      </c>
      <c r="X30" s="1">
        <f t="shared" si="15"/>
        <v>6.25</v>
      </c>
    </row>
    <row r="31" spans="1:24" x14ac:dyDescent="0.2">
      <c r="A31" s="8" t="s">
        <v>26</v>
      </c>
      <c r="B31" s="9" t="s">
        <v>40</v>
      </c>
      <c r="C31" s="9" t="s">
        <v>36</v>
      </c>
      <c r="D31" s="9" t="s">
        <v>45</v>
      </c>
      <c r="E31">
        <v>40</v>
      </c>
      <c r="F31">
        <v>1</v>
      </c>
      <c r="G31">
        <v>0</v>
      </c>
      <c r="H31">
        <v>0</v>
      </c>
      <c r="I31">
        <f t="shared" si="3"/>
        <v>0</v>
      </c>
      <c r="J31">
        <v>7</v>
      </c>
      <c r="K31">
        <v>0</v>
      </c>
      <c r="L31">
        <v>2</v>
      </c>
      <c r="M31">
        <f t="shared" si="12"/>
        <v>2</v>
      </c>
      <c r="N31">
        <v>12</v>
      </c>
      <c r="O31">
        <v>0</v>
      </c>
      <c r="P31">
        <v>1</v>
      </c>
      <c r="Q31">
        <f t="shared" si="13"/>
        <v>1</v>
      </c>
      <c r="R31">
        <v>10</v>
      </c>
      <c r="S31">
        <f t="shared" si="14"/>
        <v>3</v>
      </c>
      <c r="T31">
        <f t="shared" si="14"/>
        <v>29</v>
      </c>
      <c r="U31" s="1">
        <f t="shared" si="6"/>
        <v>0</v>
      </c>
      <c r="V31" s="1">
        <f t="shared" si="7"/>
        <v>16.666666666666664</v>
      </c>
      <c r="W31" s="1">
        <f t="shared" si="8"/>
        <v>10</v>
      </c>
      <c r="X31" s="1">
        <f t="shared" si="15"/>
        <v>10.344827586206897</v>
      </c>
    </row>
    <row r="32" spans="1:24" x14ac:dyDescent="0.2">
      <c r="A32" s="8" t="s">
        <v>26</v>
      </c>
      <c r="B32" s="9" t="s">
        <v>40</v>
      </c>
      <c r="C32" s="9" t="s">
        <v>36</v>
      </c>
      <c r="D32" s="9" t="s">
        <v>45</v>
      </c>
      <c r="E32">
        <v>53</v>
      </c>
      <c r="F32">
        <v>1</v>
      </c>
      <c r="G32">
        <v>0</v>
      </c>
      <c r="H32">
        <v>0</v>
      </c>
      <c r="I32">
        <f t="shared" si="3"/>
        <v>0</v>
      </c>
      <c r="J32">
        <v>6</v>
      </c>
      <c r="K32">
        <v>1</v>
      </c>
      <c r="L32">
        <v>0</v>
      </c>
      <c r="M32">
        <f t="shared" si="12"/>
        <v>1</v>
      </c>
      <c r="N32">
        <v>3</v>
      </c>
      <c r="O32">
        <v>0</v>
      </c>
      <c r="P32">
        <v>2</v>
      </c>
      <c r="Q32">
        <f t="shared" si="13"/>
        <v>2</v>
      </c>
      <c r="R32">
        <v>4</v>
      </c>
      <c r="S32">
        <f t="shared" si="14"/>
        <v>3</v>
      </c>
      <c r="T32">
        <f t="shared" si="14"/>
        <v>13</v>
      </c>
      <c r="U32" s="1">
        <f t="shared" si="6"/>
        <v>0</v>
      </c>
      <c r="V32" s="1">
        <f t="shared" si="7"/>
        <v>33.333333333333329</v>
      </c>
      <c r="W32" s="1">
        <f t="shared" si="8"/>
        <v>50</v>
      </c>
      <c r="X32" s="1">
        <f t="shared" si="15"/>
        <v>23.076923076923077</v>
      </c>
    </row>
    <row r="33" spans="1:24" x14ac:dyDescent="0.2">
      <c r="A33" s="10" t="s">
        <v>27</v>
      </c>
      <c r="B33" s="11" t="s">
        <v>40</v>
      </c>
      <c r="C33" s="11" t="s">
        <v>38</v>
      </c>
      <c r="D33" s="11" t="s">
        <v>45</v>
      </c>
      <c r="E33">
        <v>5</v>
      </c>
      <c r="F33">
        <v>1</v>
      </c>
      <c r="G33">
        <v>0</v>
      </c>
      <c r="H33">
        <v>0</v>
      </c>
      <c r="I33">
        <f t="shared" si="3"/>
        <v>0</v>
      </c>
      <c r="J33">
        <v>2</v>
      </c>
      <c r="K33">
        <v>0</v>
      </c>
      <c r="L33">
        <v>2</v>
      </c>
      <c r="M33">
        <f t="shared" si="12"/>
        <v>2</v>
      </c>
      <c r="N33">
        <v>12</v>
      </c>
      <c r="O33">
        <v>0</v>
      </c>
      <c r="P33">
        <v>0</v>
      </c>
      <c r="Q33">
        <f t="shared" si="13"/>
        <v>0</v>
      </c>
      <c r="R33">
        <v>8</v>
      </c>
      <c r="S33">
        <f t="shared" si="14"/>
        <v>2</v>
      </c>
      <c r="T33">
        <f t="shared" si="14"/>
        <v>22</v>
      </c>
      <c r="U33" s="1">
        <f t="shared" si="6"/>
        <v>0</v>
      </c>
      <c r="V33" s="1">
        <f t="shared" si="7"/>
        <v>16.666666666666664</v>
      </c>
      <c r="W33" s="1">
        <f t="shared" si="8"/>
        <v>0</v>
      </c>
      <c r="X33" s="1">
        <f t="shared" si="15"/>
        <v>9.0909090909090917</v>
      </c>
    </row>
    <row r="34" spans="1:24" x14ac:dyDescent="0.2">
      <c r="A34" s="10" t="s">
        <v>27</v>
      </c>
      <c r="B34" s="11" t="s">
        <v>40</v>
      </c>
      <c r="C34" s="11" t="s">
        <v>38</v>
      </c>
      <c r="D34" s="11" t="s">
        <v>45</v>
      </c>
      <c r="E34">
        <v>18</v>
      </c>
      <c r="F34">
        <v>1</v>
      </c>
      <c r="G34">
        <v>0</v>
      </c>
      <c r="H34">
        <v>0</v>
      </c>
      <c r="I34">
        <f t="shared" si="3"/>
        <v>0</v>
      </c>
      <c r="J34">
        <v>12</v>
      </c>
      <c r="K34">
        <v>3</v>
      </c>
      <c r="L34">
        <v>2</v>
      </c>
      <c r="M34">
        <f t="shared" si="12"/>
        <v>5</v>
      </c>
      <c r="N34">
        <v>16</v>
      </c>
      <c r="O34">
        <v>3</v>
      </c>
      <c r="P34">
        <v>0</v>
      </c>
      <c r="Q34">
        <f t="shared" si="13"/>
        <v>3</v>
      </c>
      <c r="R34">
        <v>21</v>
      </c>
      <c r="S34">
        <f t="shared" si="14"/>
        <v>8</v>
      </c>
      <c r="T34">
        <f t="shared" si="14"/>
        <v>49</v>
      </c>
      <c r="U34" s="1">
        <f t="shared" si="6"/>
        <v>0</v>
      </c>
      <c r="V34" s="1">
        <f t="shared" si="7"/>
        <v>31.25</v>
      </c>
      <c r="W34" s="1">
        <f t="shared" si="8"/>
        <v>14.285714285714285</v>
      </c>
      <c r="X34" s="1">
        <f t="shared" si="15"/>
        <v>16.326530612244898</v>
      </c>
    </row>
    <row r="35" spans="1:24" x14ac:dyDescent="0.2">
      <c r="A35" s="10" t="s">
        <v>27</v>
      </c>
      <c r="B35" s="11" t="s">
        <v>40</v>
      </c>
      <c r="C35" s="11" t="s">
        <v>38</v>
      </c>
      <c r="D35" s="11" t="s">
        <v>45</v>
      </c>
      <c r="E35">
        <v>32</v>
      </c>
      <c r="F35">
        <v>1</v>
      </c>
      <c r="G35">
        <v>1</v>
      </c>
      <c r="H35">
        <v>0</v>
      </c>
      <c r="I35">
        <f t="shared" si="3"/>
        <v>1</v>
      </c>
      <c r="J35">
        <v>3</v>
      </c>
      <c r="K35">
        <v>0</v>
      </c>
      <c r="L35">
        <v>0</v>
      </c>
      <c r="M35">
        <f t="shared" si="12"/>
        <v>0</v>
      </c>
      <c r="N35">
        <v>6</v>
      </c>
      <c r="O35">
        <v>2</v>
      </c>
      <c r="P35">
        <v>0</v>
      </c>
      <c r="Q35">
        <f t="shared" si="13"/>
        <v>2</v>
      </c>
      <c r="R35">
        <v>9</v>
      </c>
      <c r="S35">
        <f t="shared" si="14"/>
        <v>3</v>
      </c>
      <c r="T35">
        <f t="shared" si="14"/>
        <v>18</v>
      </c>
      <c r="U35" s="1">
        <f t="shared" si="6"/>
        <v>33.333333333333329</v>
      </c>
      <c r="V35" s="1">
        <f t="shared" si="7"/>
        <v>0</v>
      </c>
      <c r="W35" s="1">
        <f t="shared" si="8"/>
        <v>22.222222222222221</v>
      </c>
      <c r="X35" s="1">
        <f t="shared" si="15"/>
        <v>16.666666666666664</v>
      </c>
    </row>
    <row r="36" spans="1:24" x14ac:dyDescent="0.2">
      <c r="A36" s="12" t="s">
        <v>16</v>
      </c>
      <c r="B36" s="13" t="s">
        <v>32</v>
      </c>
      <c r="C36" s="13" t="s">
        <v>33</v>
      </c>
      <c r="D36" s="13" t="s">
        <v>45</v>
      </c>
      <c r="E36">
        <v>15</v>
      </c>
      <c r="F36">
        <v>1</v>
      </c>
      <c r="G36">
        <v>0</v>
      </c>
      <c r="H36">
        <v>0</v>
      </c>
      <c r="I36">
        <f t="shared" si="3"/>
        <v>0</v>
      </c>
      <c r="J36">
        <v>3</v>
      </c>
      <c r="K36">
        <v>0</v>
      </c>
      <c r="L36">
        <v>0</v>
      </c>
      <c r="M36">
        <f t="shared" si="12"/>
        <v>0</v>
      </c>
      <c r="N36">
        <v>1</v>
      </c>
      <c r="O36">
        <v>0</v>
      </c>
      <c r="P36">
        <v>0</v>
      </c>
      <c r="Q36">
        <f t="shared" si="13"/>
        <v>0</v>
      </c>
      <c r="R36">
        <v>2</v>
      </c>
      <c r="S36">
        <f t="shared" si="14"/>
        <v>0</v>
      </c>
      <c r="T36">
        <f t="shared" si="14"/>
        <v>6</v>
      </c>
      <c r="U36" s="1">
        <f t="shared" si="6"/>
        <v>0</v>
      </c>
      <c r="V36" s="1">
        <f t="shared" si="7"/>
        <v>0</v>
      </c>
      <c r="W36" s="1">
        <f t="shared" si="8"/>
        <v>0</v>
      </c>
      <c r="X36" s="1">
        <f t="shared" si="15"/>
        <v>0</v>
      </c>
    </row>
    <row r="37" spans="1:24" x14ac:dyDescent="0.2">
      <c r="A37" s="12" t="s">
        <v>16</v>
      </c>
      <c r="B37" s="13" t="s">
        <v>32</v>
      </c>
      <c r="C37" s="13" t="s">
        <v>33</v>
      </c>
      <c r="D37" s="13" t="s">
        <v>45</v>
      </c>
      <c r="E37">
        <v>19</v>
      </c>
      <c r="F37">
        <v>1</v>
      </c>
      <c r="G37">
        <v>0</v>
      </c>
      <c r="H37">
        <v>0</v>
      </c>
      <c r="I37">
        <f t="shared" si="3"/>
        <v>0</v>
      </c>
      <c r="J37">
        <v>0</v>
      </c>
      <c r="K37">
        <v>0</v>
      </c>
      <c r="L37">
        <v>0</v>
      </c>
      <c r="M37">
        <f t="shared" si="12"/>
        <v>0</v>
      </c>
      <c r="N37">
        <v>1</v>
      </c>
      <c r="O37">
        <v>0</v>
      </c>
      <c r="P37">
        <v>0</v>
      </c>
      <c r="Q37">
        <f t="shared" si="13"/>
        <v>0</v>
      </c>
      <c r="R37">
        <v>0</v>
      </c>
      <c r="S37">
        <f t="shared" si="14"/>
        <v>0</v>
      </c>
      <c r="T37">
        <f t="shared" si="14"/>
        <v>1</v>
      </c>
      <c r="U37" s="1">
        <v>0</v>
      </c>
      <c r="V37" s="1">
        <f t="shared" si="7"/>
        <v>0</v>
      </c>
      <c r="W37" s="1">
        <v>0</v>
      </c>
      <c r="X37" s="1">
        <f t="shared" si="15"/>
        <v>0</v>
      </c>
    </row>
    <row r="38" spans="1:24" x14ac:dyDescent="0.2">
      <c r="A38" s="12" t="s">
        <v>16</v>
      </c>
      <c r="B38" s="13" t="s">
        <v>32</v>
      </c>
      <c r="C38" s="13" t="s">
        <v>33</v>
      </c>
      <c r="D38" s="13" t="s">
        <v>45</v>
      </c>
      <c r="E38">
        <v>23</v>
      </c>
      <c r="F38">
        <v>1</v>
      </c>
      <c r="G38">
        <v>2</v>
      </c>
      <c r="H38">
        <v>0</v>
      </c>
      <c r="I38">
        <f t="shared" si="3"/>
        <v>2</v>
      </c>
      <c r="J38">
        <v>8</v>
      </c>
      <c r="K38">
        <v>2</v>
      </c>
      <c r="L38">
        <v>0</v>
      </c>
      <c r="M38">
        <f t="shared" si="12"/>
        <v>2</v>
      </c>
      <c r="N38">
        <v>11</v>
      </c>
      <c r="O38">
        <v>1</v>
      </c>
      <c r="P38">
        <v>0</v>
      </c>
      <c r="Q38">
        <f t="shared" si="13"/>
        <v>1</v>
      </c>
      <c r="R38">
        <v>5</v>
      </c>
      <c r="S38">
        <f t="shared" si="14"/>
        <v>5</v>
      </c>
      <c r="T38">
        <f t="shared" si="14"/>
        <v>24</v>
      </c>
      <c r="U38" s="1">
        <f t="shared" si="6"/>
        <v>25</v>
      </c>
      <c r="V38" s="1">
        <f t="shared" si="7"/>
        <v>18.181818181818183</v>
      </c>
      <c r="W38" s="1">
        <f t="shared" si="8"/>
        <v>20</v>
      </c>
      <c r="X38" s="1">
        <f t="shared" si="15"/>
        <v>20.833333333333336</v>
      </c>
    </row>
    <row r="39" spans="1:24" x14ac:dyDescent="0.2">
      <c r="A39" s="12" t="s">
        <v>16</v>
      </c>
      <c r="B39" s="13" t="s">
        <v>32</v>
      </c>
      <c r="C39" s="13" t="s">
        <v>33</v>
      </c>
      <c r="D39" s="13" t="s">
        <v>45</v>
      </c>
      <c r="E39">
        <v>23.3</v>
      </c>
      <c r="F39">
        <v>1</v>
      </c>
      <c r="G39">
        <v>0</v>
      </c>
      <c r="H39">
        <v>0</v>
      </c>
      <c r="I39">
        <f t="shared" si="3"/>
        <v>0</v>
      </c>
      <c r="J39">
        <v>3</v>
      </c>
      <c r="K39">
        <v>0</v>
      </c>
      <c r="L39">
        <v>0</v>
      </c>
      <c r="M39">
        <f t="shared" si="12"/>
        <v>0</v>
      </c>
      <c r="N39">
        <v>3</v>
      </c>
      <c r="O39">
        <v>0</v>
      </c>
      <c r="P39">
        <v>0</v>
      </c>
      <c r="Q39">
        <f t="shared" si="13"/>
        <v>0</v>
      </c>
      <c r="R39">
        <v>8</v>
      </c>
      <c r="S39">
        <f t="shared" si="14"/>
        <v>0</v>
      </c>
      <c r="T39">
        <f t="shared" si="14"/>
        <v>14</v>
      </c>
      <c r="U39" s="1">
        <f t="shared" si="6"/>
        <v>0</v>
      </c>
      <c r="V39" s="1">
        <f t="shared" si="7"/>
        <v>0</v>
      </c>
      <c r="W39" s="1">
        <f t="shared" si="8"/>
        <v>0</v>
      </c>
      <c r="X39" s="1">
        <f t="shared" si="15"/>
        <v>0</v>
      </c>
    </row>
    <row r="40" spans="1:24" x14ac:dyDescent="0.2">
      <c r="A40" s="12" t="s">
        <v>16</v>
      </c>
      <c r="B40" s="13" t="s">
        <v>32</v>
      </c>
      <c r="C40" s="13" t="s">
        <v>33</v>
      </c>
      <c r="D40" s="13" t="s">
        <v>45</v>
      </c>
      <c r="E40">
        <v>30</v>
      </c>
      <c r="F40">
        <v>1</v>
      </c>
      <c r="G40">
        <v>0</v>
      </c>
      <c r="H40">
        <v>0</v>
      </c>
      <c r="I40">
        <f t="shared" si="3"/>
        <v>0</v>
      </c>
      <c r="J40">
        <v>0</v>
      </c>
      <c r="K40">
        <v>0</v>
      </c>
      <c r="L40">
        <v>0</v>
      </c>
      <c r="M40">
        <f t="shared" si="12"/>
        <v>0</v>
      </c>
      <c r="N40">
        <v>1</v>
      </c>
      <c r="O40">
        <v>1</v>
      </c>
      <c r="P40">
        <v>0</v>
      </c>
      <c r="Q40">
        <f t="shared" si="13"/>
        <v>1</v>
      </c>
      <c r="R40">
        <v>4</v>
      </c>
      <c r="S40">
        <f t="shared" si="14"/>
        <v>1</v>
      </c>
      <c r="T40">
        <f t="shared" si="14"/>
        <v>5</v>
      </c>
      <c r="U40" s="1">
        <v>0</v>
      </c>
      <c r="V40" s="1">
        <f t="shared" si="7"/>
        <v>0</v>
      </c>
      <c r="W40" s="1">
        <f t="shared" si="8"/>
        <v>25</v>
      </c>
      <c r="X40" s="1">
        <f t="shared" si="15"/>
        <v>20</v>
      </c>
    </row>
    <row r="41" spans="1:24" x14ac:dyDescent="0.2">
      <c r="A41" s="14" t="s">
        <v>23</v>
      </c>
      <c r="B41" s="15" t="s">
        <v>32</v>
      </c>
      <c r="C41" s="15" t="s">
        <v>46</v>
      </c>
      <c r="D41" s="15" t="s">
        <v>45</v>
      </c>
      <c r="E41">
        <v>15</v>
      </c>
      <c r="F41">
        <v>1</v>
      </c>
      <c r="G41">
        <v>0</v>
      </c>
      <c r="H41">
        <v>0</v>
      </c>
      <c r="I41">
        <f t="shared" si="3"/>
        <v>0</v>
      </c>
      <c r="J41">
        <v>1</v>
      </c>
      <c r="K41">
        <v>0</v>
      </c>
      <c r="L41">
        <v>0</v>
      </c>
      <c r="M41">
        <f t="shared" si="12"/>
        <v>0</v>
      </c>
      <c r="N41">
        <v>2</v>
      </c>
      <c r="O41">
        <v>0</v>
      </c>
      <c r="P41">
        <v>0</v>
      </c>
      <c r="Q41">
        <f t="shared" si="13"/>
        <v>0</v>
      </c>
      <c r="R41">
        <v>4</v>
      </c>
      <c r="S41">
        <f t="shared" si="14"/>
        <v>0</v>
      </c>
      <c r="T41">
        <f t="shared" si="14"/>
        <v>7</v>
      </c>
      <c r="U41" s="1">
        <f t="shared" si="6"/>
        <v>0</v>
      </c>
      <c r="V41" s="1">
        <f t="shared" si="7"/>
        <v>0</v>
      </c>
      <c r="W41" s="1">
        <f t="shared" si="8"/>
        <v>0</v>
      </c>
      <c r="X41" s="1">
        <f t="shared" si="15"/>
        <v>0</v>
      </c>
    </row>
    <row r="42" spans="1:24" x14ac:dyDescent="0.2">
      <c r="A42" s="14" t="s">
        <v>23</v>
      </c>
      <c r="B42" s="15" t="s">
        <v>32</v>
      </c>
      <c r="C42" s="15" t="s">
        <v>46</v>
      </c>
      <c r="D42" s="15" t="s">
        <v>45</v>
      </c>
      <c r="E42">
        <v>19</v>
      </c>
      <c r="F42">
        <v>1</v>
      </c>
      <c r="G42">
        <v>0</v>
      </c>
      <c r="H42">
        <v>0</v>
      </c>
      <c r="I42">
        <f t="shared" si="3"/>
        <v>0</v>
      </c>
      <c r="J42">
        <v>1</v>
      </c>
      <c r="K42">
        <v>0</v>
      </c>
      <c r="L42">
        <v>0</v>
      </c>
      <c r="M42">
        <f t="shared" si="12"/>
        <v>0</v>
      </c>
      <c r="N42">
        <v>2</v>
      </c>
      <c r="O42">
        <v>0</v>
      </c>
      <c r="P42">
        <v>0</v>
      </c>
      <c r="Q42">
        <f t="shared" si="13"/>
        <v>0</v>
      </c>
      <c r="R42">
        <v>1</v>
      </c>
      <c r="S42">
        <f t="shared" si="14"/>
        <v>0</v>
      </c>
      <c r="T42">
        <f t="shared" si="14"/>
        <v>4</v>
      </c>
      <c r="U42" s="1">
        <f t="shared" si="6"/>
        <v>0</v>
      </c>
      <c r="V42" s="1">
        <f t="shared" si="7"/>
        <v>0</v>
      </c>
      <c r="W42" s="1">
        <f t="shared" si="8"/>
        <v>0</v>
      </c>
      <c r="X42" s="1">
        <f t="shared" si="15"/>
        <v>0</v>
      </c>
    </row>
    <row r="43" spans="1:24" x14ac:dyDescent="0.2">
      <c r="A43" s="14" t="s">
        <v>23</v>
      </c>
      <c r="B43" s="15" t="s">
        <v>32</v>
      </c>
      <c r="C43" s="15" t="s">
        <v>46</v>
      </c>
      <c r="D43" s="15" t="s">
        <v>45</v>
      </c>
      <c r="E43">
        <v>23.5</v>
      </c>
      <c r="F43">
        <v>1</v>
      </c>
      <c r="G43">
        <v>0</v>
      </c>
      <c r="H43">
        <v>0</v>
      </c>
      <c r="I43">
        <f t="shared" si="3"/>
        <v>0</v>
      </c>
      <c r="J43">
        <v>7</v>
      </c>
      <c r="K43">
        <v>2</v>
      </c>
      <c r="L43">
        <v>2</v>
      </c>
      <c r="M43">
        <f t="shared" si="12"/>
        <v>4</v>
      </c>
      <c r="N43">
        <v>14</v>
      </c>
      <c r="O43">
        <v>0</v>
      </c>
      <c r="P43">
        <v>0</v>
      </c>
      <c r="Q43">
        <f t="shared" si="13"/>
        <v>0</v>
      </c>
      <c r="R43">
        <v>4</v>
      </c>
      <c r="S43">
        <f t="shared" si="14"/>
        <v>4</v>
      </c>
      <c r="T43">
        <f t="shared" si="14"/>
        <v>25</v>
      </c>
      <c r="U43" s="1">
        <f t="shared" si="6"/>
        <v>0</v>
      </c>
      <c r="V43" s="1">
        <f t="shared" si="7"/>
        <v>28.571428571428569</v>
      </c>
      <c r="W43" s="1">
        <f t="shared" si="8"/>
        <v>0</v>
      </c>
      <c r="X43" s="1">
        <f t="shared" si="15"/>
        <v>16</v>
      </c>
    </row>
    <row r="44" spans="1:24" x14ac:dyDescent="0.2">
      <c r="A44" s="14" t="s">
        <v>23</v>
      </c>
      <c r="B44" s="15" t="s">
        <v>32</v>
      </c>
      <c r="C44" s="15" t="s">
        <v>46</v>
      </c>
      <c r="D44" s="15" t="s">
        <v>45</v>
      </c>
      <c r="E44">
        <v>23.6</v>
      </c>
      <c r="F44">
        <v>1</v>
      </c>
      <c r="G44">
        <v>0</v>
      </c>
      <c r="H44">
        <v>0</v>
      </c>
      <c r="I44">
        <f t="shared" si="3"/>
        <v>0</v>
      </c>
      <c r="J44">
        <v>4</v>
      </c>
      <c r="K44">
        <v>0</v>
      </c>
      <c r="L44">
        <v>0</v>
      </c>
      <c r="M44">
        <f t="shared" si="12"/>
        <v>0</v>
      </c>
      <c r="N44">
        <v>4</v>
      </c>
      <c r="O44">
        <v>0</v>
      </c>
      <c r="P44">
        <v>0</v>
      </c>
      <c r="Q44">
        <f t="shared" si="13"/>
        <v>0</v>
      </c>
      <c r="R44">
        <v>9</v>
      </c>
      <c r="S44">
        <f t="shared" si="14"/>
        <v>0</v>
      </c>
      <c r="T44">
        <f t="shared" si="14"/>
        <v>17</v>
      </c>
      <c r="U44" s="1">
        <f t="shared" si="6"/>
        <v>0</v>
      </c>
      <c r="V44" s="1">
        <f t="shared" si="7"/>
        <v>0</v>
      </c>
      <c r="W44" s="1">
        <f t="shared" si="8"/>
        <v>0</v>
      </c>
      <c r="X44" s="1">
        <f t="shared" si="15"/>
        <v>0</v>
      </c>
    </row>
    <row r="45" spans="1:24" x14ac:dyDescent="0.2">
      <c r="A45" s="14" t="s">
        <v>23</v>
      </c>
      <c r="B45" s="15" t="s">
        <v>32</v>
      </c>
      <c r="C45" s="15" t="s">
        <v>46</v>
      </c>
      <c r="D45" s="15" t="s">
        <v>45</v>
      </c>
      <c r="E45">
        <v>30</v>
      </c>
      <c r="F45">
        <v>1</v>
      </c>
      <c r="G45">
        <v>0</v>
      </c>
      <c r="H45">
        <v>0</v>
      </c>
      <c r="I45">
        <f t="shared" si="3"/>
        <v>0</v>
      </c>
      <c r="J45">
        <v>1</v>
      </c>
      <c r="K45">
        <v>0</v>
      </c>
      <c r="L45">
        <v>0</v>
      </c>
      <c r="M45">
        <f t="shared" si="12"/>
        <v>0</v>
      </c>
      <c r="N45">
        <v>5</v>
      </c>
      <c r="O45">
        <v>0</v>
      </c>
      <c r="P45">
        <v>0</v>
      </c>
      <c r="Q45">
        <f t="shared" si="13"/>
        <v>0</v>
      </c>
      <c r="R45">
        <v>1</v>
      </c>
      <c r="S45">
        <f t="shared" si="14"/>
        <v>0</v>
      </c>
      <c r="T45">
        <f t="shared" si="14"/>
        <v>7</v>
      </c>
      <c r="U45" s="1">
        <f t="shared" si="6"/>
        <v>0</v>
      </c>
      <c r="V45" s="1">
        <f t="shared" si="7"/>
        <v>0</v>
      </c>
      <c r="W45" s="1">
        <f t="shared" si="8"/>
        <v>0</v>
      </c>
      <c r="X45" s="1">
        <f t="shared" si="15"/>
        <v>0</v>
      </c>
    </row>
    <row r="46" spans="1:24" x14ac:dyDescent="0.2">
      <c r="A46" s="14" t="s">
        <v>23</v>
      </c>
      <c r="B46" s="15" t="s">
        <v>32</v>
      </c>
      <c r="C46" s="15" t="s">
        <v>46</v>
      </c>
      <c r="D46" s="15" t="s">
        <v>45</v>
      </c>
      <c r="E46">
        <v>30.5</v>
      </c>
      <c r="F46">
        <v>1</v>
      </c>
      <c r="G46">
        <v>0</v>
      </c>
      <c r="H46">
        <v>0</v>
      </c>
      <c r="I46">
        <f t="shared" si="3"/>
        <v>0</v>
      </c>
      <c r="J46">
        <v>1</v>
      </c>
      <c r="K46">
        <v>0</v>
      </c>
      <c r="L46">
        <v>0</v>
      </c>
      <c r="M46">
        <f t="shared" si="12"/>
        <v>0</v>
      </c>
      <c r="N46">
        <v>0</v>
      </c>
      <c r="O46">
        <v>1</v>
      </c>
      <c r="P46">
        <v>0</v>
      </c>
      <c r="Q46">
        <f t="shared" si="13"/>
        <v>1</v>
      </c>
      <c r="R46">
        <v>5</v>
      </c>
      <c r="S46">
        <f t="shared" si="14"/>
        <v>1</v>
      </c>
      <c r="T46">
        <f t="shared" si="14"/>
        <v>6</v>
      </c>
      <c r="U46" s="1">
        <f t="shared" si="6"/>
        <v>0</v>
      </c>
      <c r="V46" s="1">
        <v>0</v>
      </c>
      <c r="W46" s="1">
        <f t="shared" si="8"/>
        <v>20</v>
      </c>
      <c r="X46" s="1">
        <f t="shared" si="15"/>
        <v>16.666666666666664</v>
      </c>
    </row>
    <row r="47" spans="1:24" x14ac:dyDescent="0.2">
      <c r="A47" s="16" t="s">
        <v>24</v>
      </c>
      <c r="B47" s="17" t="s">
        <v>32</v>
      </c>
      <c r="C47" s="17" t="s">
        <v>38</v>
      </c>
      <c r="D47" s="17" t="s">
        <v>45</v>
      </c>
      <c r="E47">
        <v>14</v>
      </c>
      <c r="F47">
        <v>1</v>
      </c>
      <c r="G47">
        <v>0</v>
      </c>
      <c r="H47">
        <v>0</v>
      </c>
      <c r="I47">
        <f t="shared" si="3"/>
        <v>0</v>
      </c>
      <c r="J47">
        <v>1</v>
      </c>
      <c r="K47">
        <v>0</v>
      </c>
      <c r="L47">
        <v>3</v>
      </c>
      <c r="M47">
        <f t="shared" si="12"/>
        <v>3</v>
      </c>
      <c r="N47">
        <v>7</v>
      </c>
      <c r="O47">
        <v>0</v>
      </c>
      <c r="P47">
        <v>5</v>
      </c>
      <c r="Q47">
        <f t="shared" si="13"/>
        <v>5</v>
      </c>
      <c r="R47">
        <v>7</v>
      </c>
      <c r="S47">
        <f t="shared" si="14"/>
        <v>8</v>
      </c>
      <c r="T47">
        <f t="shared" si="14"/>
        <v>15</v>
      </c>
      <c r="U47" s="1">
        <f t="shared" si="6"/>
        <v>0</v>
      </c>
      <c r="V47" s="1">
        <f t="shared" si="7"/>
        <v>42.857142857142854</v>
      </c>
      <c r="W47" s="1">
        <f t="shared" si="8"/>
        <v>71.428571428571431</v>
      </c>
      <c r="X47" s="1">
        <f t="shared" si="15"/>
        <v>53.333333333333336</v>
      </c>
    </row>
    <row r="48" spans="1:24" x14ac:dyDescent="0.2">
      <c r="A48" s="16" t="s">
        <v>24</v>
      </c>
      <c r="B48" s="17" t="s">
        <v>32</v>
      </c>
      <c r="C48" s="17" t="s">
        <v>38</v>
      </c>
      <c r="D48" s="17" t="s">
        <v>45</v>
      </c>
      <c r="E48">
        <v>14.4</v>
      </c>
      <c r="F48">
        <v>1</v>
      </c>
      <c r="G48">
        <v>0</v>
      </c>
      <c r="H48">
        <v>0</v>
      </c>
      <c r="I48">
        <f t="shared" si="3"/>
        <v>0</v>
      </c>
      <c r="J48">
        <v>5</v>
      </c>
      <c r="K48">
        <v>0</v>
      </c>
      <c r="L48">
        <v>3</v>
      </c>
      <c r="M48">
        <f t="shared" si="12"/>
        <v>3</v>
      </c>
      <c r="N48">
        <v>9</v>
      </c>
      <c r="O48">
        <v>0</v>
      </c>
      <c r="P48">
        <v>1</v>
      </c>
      <c r="Q48">
        <f t="shared" si="13"/>
        <v>1</v>
      </c>
      <c r="R48">
        <v>6</v>
      </c>
      <c r="S48">
        <f t="shared" si="14"/>
        <v>4</v>
      </c>
      <c r="T48">
        <f t="shared" si="14"/>
        <v>20</v>
      </c>
      <c r="U48" s="1">
        <f t="shared" si="6"/>
        <v>0</v>
      </c>
      <c r="V48" s="1">
        <f t="shared" si="7"/>
        <v>33.333333333333329</v>
      </c>
      <c r="W48" s="1">
        <f t="shared" si="8"/>
        <v>16.666666666666664</v>
      </c>
      <c r="X48" s="1">
        <f t="shared" si="15"/>
        <v>20</v>
      </c>
    </row>
    <row r="49" spans="1:24" x14ac:dyDescent="0.2">
      <c r="A49" s="16" t="s">
        <v>24</v>
      </c>
      <c r="B49" s="17" t="s">
        <v>32</v>
      </c>
      <c r="C49" s="17" t="s">
        <v>38</v>
      </c>
      <c r="D49" s="17" t="s">
        <v>45</v>
      </c>
      <c r="E49">
        <v>20</v>
      </c>
      <c r="F49">
        <v>1</v>
      </c>
      <c r="G49">
        <v>0</v>
      </c>
      <c r="H49">
        <v>1</v>
      </c>
      <c r="I49">
        <f t="shared" si="3"/>
        <v>1</v>
      </c>
      <c r="J49">
        <v>4</v>
      </c>
      <c r="K49">
        <v>0</v>
      </c>
      <c r="L49">
        <v>3</v>
      </c>
      <c r="M49">
        <f t="shared" si="12"/>
        <v>3</v>
      </c>
      <c r="N49">
        <v>15</v>
      </c>
      <c r="O49">
        <v>0</v>
      </c>
      <c r="P49">
        <v>1</v>
      </c>
      <c r="Q49">
        <f t="shared" si="13"/>
        <v>1</v>
      </c>
      <c r="R49">
        <v>10</v>
      </c>
      <c r="S49">
        <f t="shared" si="14"/>
        <v>5</v>
      </c>
      <c r="T49">
        <f t="shared" si="14"/>
        <v>29</v>
      </c>
      <c r="U49" s="1">
        <f t="shared" si="6"/>
        <v>25</v>
      </c>
      <c r="V49" s="1">
        <f t="shared" si="7"/>
        <v>20</v>
      </c>
      <c r="W49" s="1">
        <f t="shared" si="8"/>
        <v>10</v>
      </c>
      <c r="X49" s="1">
        <f t="shared" si="15"/>
        <v>17.241379310344829</v>
      </c>
    </row>
    <row r="50" spans="1:24" x14ac:dyDescent="0.2">
      <c r="A50" s="16" t="s">
        <v>24</v>
      </c>
      <c r="B50" s="17" t="s">
        <v>32</v>
      </c>
      <c r="C50" s="17" t="s">
        <v>38</v>
      </c>
      <c r="D50" s="17" t="s">
        <v>45</v>
      </c>
      <c r="E50">
        <v>27</v>
      </c>
      <c r="F50">
        <v>1</v>
      </c>
      <c r="G50">
        <v>0</v>
      </c>
      <c r="H50">
        <v>0</v>
      </c>
      <c r="I50">
        <f t="shared" si="3"/>
        <v>0</v>
      </c>
      <c r="J50">
        <v>1</v>
      </c>
      <c r="K50">
        <v>0</v>
      </c>
      <c r="L50">
        <v>3</v>
      </c>
      <c r="M50">
        <f t="shared" si="12"/>
        <v>3</v>
      </c>
      <c r="N50">
        <v>16</v>
      </c>
      <c r="O50">
        <v>0</v>
      </c>
      <c r="P50">
        <v>0</v>
      </c>
      <c r="Q50">
        <f t="shared" si="13"/>
        <v>0</v>
      </c>
      <c r="R50">
        <v>4</v>
      </c>
      <c r="S50">
        <f t="shared" si="14"/>
        <v>3</v>
      </c>
      <c r="T50">
        <f t="shared" si="14"/>
        <v>21</v>
      </c>
      <c r="U50" s="1">
        <f t="shared" si="6"/>
        <v>0</v>
      </c>
      <c r="V50" s="1">
        <f t="shared" si="7"/>
        <v>18.75</v>
      </c>
      <c r="W50" s="1">
        <f t="shared" si="8"/>
        <v>0</v>
      </c>
      <c r="X50" s="1">
        <f t="shared" si="15"/>
        <v>14.285714285714285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8425-963C-2943-A0F6-219B58502410}">
  <dimension ref="A1:T29"/>
  <sheetViews>
    <sheetView zoomScale="159" workbookViewId="0">
      <selection activeCell="C17" sqref="C17"/>
    </sheetView>
  </sheetViews>
  <sheetFormatPr baseColWidth="10" defaultRowHeight="15" x14ac:dyDescent="0.2"/>
  <cols>
    <col min="1" max="1" width="12.1640625" customWidth="1"/>
    <col min="2" max="2" width="20" customWidth="1"/>
    <col min="3" max="3" width="24.5" customWidth="1"/>
  </cols>
  <sheetData>
    <row r="1" spans="1:20" x14ac:dyDescent="0.2">
      <c r="A1" s="5" t="s">
        <v>6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19</v>
      </c>
      <c r="Q1" s="5" t="s">
        <v>28</v>
      </c>
      <c r="R1" s="5" t="s">
        <v>29</v>
      </c>
      <c r="S1" s="5" t="s">
        <v>48</v>
      </c>
      <c r="T1" s="5"/>
    </row>
    <row r="2" spans="1:20" x14ac:dyDescent="0.2">
      <c r="A2" t="s">
        <v>31</v>
      </c>
      <c r="B2" t="s">
        <v>32</v>
      </c>
      <c r="C2" t="s">
        <v>33</v>
      </c>
      <c r="D2" t="s">
        <v>34</v>
      </c>
      <c r="E2">
        <v>7</v>
      </c>
      <c r="F2">
        <v>1</v>
      </c>
      <c r="G2">
        <v>0</v>
      </c>
      <c r="H2">
        <v>0</v>
      </c>
      <c r="I2">
        <f>SUM(G2+H2)</f>
        <v>0</v>
      </c>
      <c r="J2">
        <v>2</v>
      </c>
      <c r="K2">
        <v>1</v>
      </c>
      <c r="L2">
        <f>SUM(J2+K2)</f>
        <v>3</v>
      </c>
      <c r="M2">
        <v>0</v>
      </c>
      <c r="N2">
        <v>0</v>
      </c>
      <c r="O2">
        <f>SUM(M2+N2)</f>
        <v>0</v>
      </c>
      <c r="P2">
        <f>SUM(I2+L2+O2)</f>
        <v>3</v>
      </c>
      <c r="Q2" s="1">
        <f>SUM(I2/P2)*100</f>
        <v>0</v>
      </c>
      <c r="R2" s="1">
        <f t="shared" ref="R2:R13" si="0">SUM(L2/P2)*100</f>
        <v>100</v>
      </c>
      <c r="S2" s="1">
        <f t="shared" ref="S2:S13" si="1">SUM(O2/P2)*100</f>
        <v>0</v>
      </c>
    </row>
    <row r="3" spans="1:20" x14ac:dyDescent="0.2">
      <c r="A3" t="s">
        <v>31</v>
      </c>
      <c r="B3" t="s">
        <v>32</v>
      </c>
      <c r="C3" t="s">
        <v>33</v>
      </c>
      <c r="D3" t="s">
        <v>34</v>
      </c>
      <c r="E3">
        <v>20</v>
      </c>
      <c r="F3">
        <v>1</v>
      </c>
      <c r="G3">
        <v>2</v>
      </c>
      <c r="H3">
        <v>0</v>
      </c>
      <c r="I3">
        <f t="shared" ref="I3:I29" si="2">SUM(G3+H3)</f>
        <v>2</v>
      </c>
      <c r="J3">
        <v>0</v>
      </c>
      <c r="K3">
        <v>1</v>
      </c>
      <c r="L3">
        <f t="shared" ref="L3:L29" si="3">SUM(J3+K3)</f>
        <v>1</v>
      </c>
      <c r="M3">
        <v>3</v>
      </c>
      <c r="N3">
        <v>2</v>
      </c>
      <c r="O3">
        <f t="shared" ref="O3:O29" si="4">SUM(M3+N3)</f>
        <v>5</v>
      </c>
      <c r="P3">
        <f t="shared" ref="P3:P29" si="5">SUM(I3+L3+O3)</f>
        <v>8</v>
      </c>
      <c r="Q3" s="1">
        <f t="shared" ref="Q3:Q29" si="6">SUM(I3/P3)*100</f>
        <v>25</v>
      </c>
      <c r="R3" s="1">
        <f t="shared" si="0"/>
        <v>12.5</v>
      </c>
      <c r="S3" s="1">
        <f t="shared" si="1"/>
        <v>62.5</v>
      </c>
    </row>
    <row r="4" spans="1:20" x14ac:dyDescent="0.2">
      <c r="A4" t="s">
        <v>31</v>
      </c>
      <c r="B4" t="s">
        <v>32</v>
      </c>
      <c r="C4" t="s">
        <v>33</v>
      </c>
      <c r="D4" t="s">
        <v>34</v>
      </c>
      <c r="E4">
        <v>20</v>
      </c>
      <c r="F4">
        <v>2</v>
      </c>
      <c r="G4">
        <v>2</v>
      </c>
      <c r="H4">
        <v>2</v>
      </c>
      <c r="I4">
        <f t="shared" si="2"/>
        <v>4</v>
      </c>
      <c r="J4">
        <v>2</v>
      </c>
      <c r="K4">
        <v>4</v>
      </c>
      <c r="L4">
        <f t="shared" si="3"/>
        <v>6</v>
      </c>
      <c r="M4">
        <v>3</v>
      </c>
      <c r="N4">
        <v>0</v>
      </c>
      <c r="O4">
        <f t="shared" si="4"/>
        <v>3</v>
      </c>
      <c r="P4">
        <f t="shared" si="5"/>
        <v>13</v>
      </c>
      <c r="Q4" s="1">
        <f t="shared" si="6"/>
        <v>30.76923076923077</v>
      </c>
      <c r="R4" s="1">
        <f t="shared" si="0"/>
        <v>46.153846153846153</v>
      </c>
      <c r="S4" s="1">
        <f t="shared" si="1"/>
        <v>23.076923076923077</v>
      </c>
    </row>
    <row r="5" spans="1:20" x14ac:dyDescent="0.2">
      <c r="A5" t="s">
        <v>31</v>
      </c>
      <c r="B5" t="s">
        <v>32</v>
      </c>
      <c r="C5" t="s">
        <v>33</v>
      </c>
      <c r="D5" t="s">
        <v>34</v>
      </c>
      <c r="E5">
        <v>24</v>
      </c>
      <c r="F5">
        <v>1</v>
      </c>
      <c r="G5">
        <v>11</v>
      </c>
      <c r="H5">
        <v>4</v>
      </c>
      <c r="I5">
        <f t="shared" si="2"/>
        <v>15</v>
      </c>
      <c r="J5">
        <v>0</v>
      </c>
      <c r="K5">
        <v>5</v>
      </c>
      <c r="L5">
        <f t="shared" si="3"/>
        <v>5</v>
      </c>
      <c r="M5">
        <v>0</v>
      </c>
      <c r="N5">
        <v>2</v>
      </c>
      <c r="O5">
        <f t="shared" si="4"/>
        <v>2</v>
      </c>
      <c r="P5">
        <f t="shared" si="5"/>
        <v>22</v>
      </c>
      <c r="Q5" s="1">
        <f t="shared" si="6"/>
        <v>68.181818181818173</v>
      </c>
      <c r="R5" s="1">
        <f t="shared" si="0"/>
        <v>22.727272727272727</v>
      </c>
      <c r="S5" s="1">
        <f t="shared" si="1"/>
        <v>9.0909090909090917</v>
      </c>
    </row>
    <row r="6" spans="1:20" x14ac:dyDescent="0.2">
      <c r="A6" t="s">
        <v>31</v>
      </c>
      <c r="B6" t="s">
        <v>32</v>
      </c>
      <c r="C6" t="s">
        <v>33</v>
      </c>
      <c r="D6" t="s">
        <v>34</v>
      </c>
      <c r="E6">
        <v>24</v>
      </c>
      <c r="F6">
        <v>2</v>
      </c>
      <c r="G6">
        <v>5</v>
      </c>
      <c r="H6">
        <v>3</v>
      </c>
      <c r="I6">
        <f t="shared" si="2"/>
        <v>8</v>
      </c>
      <c r="J6">
        <v>2</v>
      </c>
      <c r="K6">
        <v>4</v>
      </c>
      <c r="L6">
        <f t="shared" si="3"/>
        <v>6</v>
      </c>
      <c r="M6">
        <v>0</v>
      </c>
      <c r="N6">
        <v>1</v>
      </c>
      <c r="O6">
        <f t="shared" si="4"/>
        <v>1</v>
      </c>
      <c r="P6">
        <f t="shared" si="5"/>
        <v>15</v>
      </c>
      <c r="Q6" s="1">
        <f t="shared" si="6"/>
        <v>53.333333333333336</v>
      </c>
      <c r="R6" s="1">
        <f t="shared" si="0"/>
        <v>40</v>
      </c>
      <c r="S6" s="1">
        <f t="shared" si="1"/>
        <v>6.666666666666667</v>
      </c>
    </row>
    <row r="7" spans="1:20" x14ac:dyDescent="0.2">
      <c r="A7" t="s">
        <v>31</v>
      </c>
      <c r="B7" t="s">
        <v>32</v>
      </c>
      <c r="C7" t="s">
        <v>33</v>
      </c>
      <c r="D7" t="s">
        <v>34</v>
      </c>
      <c r="E7">
        <v>28</v>
      </c>
      <c r="F7">
        <v>1</v>
      </c>
      <c r="G7">
        <v>4</v>
      </c>
      <c r="H7">
        <v>4</v>
      </c>
      <c r="I7">
        <f t="shared" si="2"/>
        <v>8</v>
      </c>
      <c r="J7">
        <v>3</v>
      </c>
      <c r="K7">
        <v>1</v>
      </c>
      <c r="L7">
        <f t="shared" si="3"/>
        <v>4</v>
      </c>
      <c r="M7">
        <v>1</v>
      </c>
      <c r="N7">
        <v>2</v>
      </c>
      <c r="O7">
        <f t="shared" si="4"/>
        <v>3</v>
      </c>
      <c r="P7">
        <f t="shared" si="5"/>
        <v>15</v>
      </c>
      <c r="Q7" s="1">
        <f t="shared" si="6"/>
        <v>53.333333333333336</v>
      </c>
      <c r="R7" s="1">
        <f t="shared" si="0"/>
        <v>26.666666666666668</v>
      </c>
      <c r="S7" s="1">
        <f t="shared" si="1"/>
        <v>20</v>
      </c>
    </row>
    <row r="8" spans="1:20" x14ac:dyDescent="0.2">
      <c r="A8" t="s">
        <v>31</v>
      </c>
      <c r="B8" t="s">
        <v>32</v>
      </c>
      <c r="C8" t="s">
        <v>33</v>
      </c>
      <c r="D8" t="s">
        <v>34</v>
      </c>
      <c r="E8">
        <v>28</v>
      </c>
      <c r="F8">
        <v>2</v>
      </c>
      <c r="G8">
        <v>4</v>
      </c>
      <c r="H8">
        <v>1</v>
      </c>
      <c r="I8">
        <f t="shared" si="2"/>
        <v>5</v>
      </c>
      <c r="J8">
        <v>6</v>
      </c>
      <c r="K8">
        <v>0</v>
      </c>
      <c r="L8">
        <f t="shared" si="3"/>
        <v>6</v>
      </c>
      <c r="M8">
        <v>3</v>
      </c>
      <c r="N8">
        <v>3</v>
      </c>
      <c r="O8">
        <f t="shared" si="4"/>
        <v>6</v>
      </c>
      <c r="P8">
        <f t="shared" si="5"/>
        <v>17</v>
      </c>
      <c r="Q8" s="1">
        <f t="shared" si="6"/>
        <v>29.411764705882355</v>
      </c>
      <c r="R8" s="1">
        <f t="shared" si="0"/>
        <v>35.294117647058826</v>
      </c>
      <c r="S8" s="1">
        <f t="shared" si="1"/>
        <v>35.294117647058826</v>
      </c>
    </row>
    <row r="9" spans="1:20" x14ac:dyDescent="0.2">
      <c r="A9" t="s">
        <v>35</v>
      </c>
      <c r="B9" t="s">
        <v>32</v>
      </c>
      <c r="C9" t="s">
        <v>36</v>
      </c>
      <c r="D9" t="s">
        <v>34</v>
      </c>
      <c r="E9">
        <v>7.5</v>
      </c>
      <c r="F9">
        <v>1</v>
      </c>
      <c r="G9">
        <v>0</v>
      </c>
      <c r="H9">
        <v>0</v>
      </c>
      <c r="I9">
        <f t="shared" si="2"/>
        <v>0</v>
      </c>
      <c r="J9">
        <v>1</v>
      </c>
      <c r="K9">
        <v>3</v>
      </c>
      <c r="L9">
        <f t="shared" si="3"/>
        <v>4</v>
      </c>
      <c r="M9">
        <v>0</v>
      </c>
      <c r="N9">
        <v>0</v>
      </c>
      <c r="O9">
        <f t="shared" si="4"/>
        <v>0</v>
      </c>
      <c r="P9">
        <f t="shared" si="5"/>
        <v>4</v>
      </c>
      <c r="Q9" s="1">
        <f t="shared" si="6"/>
        <v>0</v>
      </c>
      <c r="R9" s="1">
        <f t="shared" si="0"/>
        <v>100</v>
      </c>
      <c r="S9" s="1">
        <f t="shared" si="1"/>
        <v>0</v>
      </c>
    </row>
    <row r="10" spans="1:20" x14ac:dyDescent="0.2">
      <c r="A10" t="s">
        <v>35</v>
      </c>
      <c r="B10" t="s">
        <v>32</v>
      </c>
      <c r="C10" t="s">
        <v>36</v>
      </c>
      <c r="D10" t="s">
        <v>34</v>
      </c>
      <c r="E10">
        <v>21</v>
      </c>
      <c r="F10">
        <v>1</v>
      </c>
      <c r="G10">
        <v>0</v>
      </c>
      <c r="H10">
        <v>2</v>
      </c>
      <c r="I10">
        <f t="shared" si="2"/>
        <v>2</v>
      </c>
      <c r="J10">
        <v>0</v>
      </c>
      <c r="K10">
        <v>3</v>
      </c>
      <c r="L10">
        <f t="shared" si="3"/>
        <v>3</v>
      </c>
      <c r="M10">
        <v>0</v>
      </c>
      <c r="N10">
        <v>0</v>
      </c>
      <c r="O10">
        <f t="shared" si="4"/>
        <v>0</v>
      </c>
      <c r="P10">
        <f t="shared" si="5"/>
        <v>5</v>
      </c>
      <c r="Q10" s="1">
        <f t="shared" si="6"/>
        <v>40</v>
      </c>
      <c r="R10" s="1">
        <f t="shared" si="0"/>
        <v>60</v>
      </c>
      <c r="S10" s="1">
        <f t="shared" si="1"/>
        <v>0</v>
      </c>
    </row>
    <row r="11" spans="1:20" x14ac:dyDescent="0.2">
      <c r="A11" t="s">
        <v>35</v>
      </c>
      <c r="B11" t="s">
        <v>32</v>
      </c>
      <c r="C11" t="s">
        <v>36</v>
      </c>
      <c r="D11" t="s">
        <v>34</v>
      </c>
      <c r="E11">
        <v>21</v>
      </c>
      <c r="F11">
        <v>2</v>
      </c>
      <c r="G11">
        <v>0</v>
      </c>
      <c r="H11">
        <v>0</v>
      </c>
      <c r="I11">
        <f t="shared" si="2"/>
        <v>0</v>
      </c>
      <c r="J11">
        <v>0</v>
      </c>
      <c r="K11">
        <v>2</v>
      </c>
      <c r="L11">
        <f t="shared" si="3"/>
        <v>2</v>
      </c>
      <c r="M11">
        <v>0</v>
      </c>
      <c r="N11">
        <v>0</v>
      </c>
      <c r="O11">
        <f t="shared" si="4"/>
        <v>0</v>
      </c>
      <c r="P11">
        <f t="shared" si="5"/>
        <v>2</v>
      </c>
      <c r="Q11" s="1">
        <f t="shared" si="6"/>
        <v>0</v>
      </c>
      <c r="R11" s="1">
        <f t="shared" si="0"/>
        <v>100</v>
      </c>
      <c r="S11" s="1">
        <f t="shared" si="1"/>
        <v>0</v>
      </c>
    </row>
    <row r="12" spans="1:20" x14ac:dyDescent="0.2">
      <c r="A12" t="s">
        <v>35</v>
      </c>
      <c r="B12" t="s">
        <v>32</v>
      </c>
      <c r="C12" t="s">
        <v>36</v>
      </c>
      <c r="D12" t="s">
        <v>34</v>
      </c>
      <c r="E12">
        <v>36</v>
      </c>
      <c r="F12">
        <v>1</v>
      </c>
      <c r="G12">
        <v>0</v>
      </c>
      <c r="H12">
        <v>2</v>
      </c>
      <c r="I12">
        <f t="shared" si="2"/>
        <v>2</v>
      </c>
      <c r="J12">
        <v>0</v>
      </c>
      <c r="K12">
        <v>3</v>
      </c>
      <c r="L12">
        <f t="shared" si="3"/>
        <v>3</v>
      </c>
      <c r="M12">
        <v>1</v>
      </c>
      <c r="N12">
        <v>2</v>
      </c>
      <c r="O12">
        <f t="shared" si="4"/>
        <v>3</v>
      </c>
      <c r="P12">
        <f t="shared" si="5"/>
        <v>8</v>
      </c>
      <c r="Q12" s="1">
        <f t="shared" si="6"/>
        <v>25</v>
      </c>
      <c r="R12" s="1">
        <f t="shared" si="0"/>
        <v>37.5</v>
      </c>
      <c r="S12" s="1">
        <f t="shared" si="1"/>
        <v>37.5</v>
      </c>
    </row>
    <row r="13" spans="1:20" x14ac:dyDescent="0.2">
      <c r="A13" t="s">
        <v>35</v>
      </c>
      <c r="B13" t="s">
        <v>32</v>
      </c>
      <c r="C13" t="s">
        <v>36</v>
      </c>
      <c r="D13" t="s">
        <v>34</v>
      </c>
      <c r="E13">
        <v>50</v>
      </c>
      <c r="F13">
        <v>1</v>
      </c>
      <c r="G13">
        <v>2</v>
      </c>
      <c r="H13">
        <v>1</v>
      </c>
      <c r="I13">
        <f t="shared" si="2"/>
        <v>3</v>
      </c>
      <c r="J13">
        <v>2</v>
      </c>
      <c r="K13">
        <v>4</v>
      </c>
      <c r="L13">
        <f t="shared" si="3"/>
        <v>6</v>
      </c>
      <c r="M13">
        <v>0</v>
      </c>
      <c r="N13">
        <v>0</v>
      </c>
      <c r="O13">
        <f t="shared" si="4"/>
        <v>0</v>
      </c>
      <c r="P13">
        <f t="shared" si="5"/>
        <v>9</v>
      </c>
      <c r="Q13" s="1">
        <f t="shared" si="6"/>
        <v>33.333333333333329</v>
      </c>
      <c r="R13" s="1">
        <f t="shared" si="0"/>
        <v>66.666666666666657</v>
      </c>
      <c r="S13" s="1">
        <f t="shared" si="1"/>
        <v>0</v>
      </c>
    </row>
    <row r="14" spans="1:20" x14ac:dyDescent="0.2">
      <c r="A14" t="s">
        <v>35</v>
      </c>
      <c r="B14" t="s">
        <v>32</v>
      </c>
      <c r="C14" t="s">
        <v>36</v>
      </c>
      <c r="D14" t="s">
        <v>34</v>
      </c>
      <c r="E14">
        <v>62</v>
      </c>
      <c r="F14">
        <v>1</v>
      </c>
      <c r="G14">
        <v>0</v>
      </c>
      <c r="H14">
        <v>0</v>
      </c>
      <c r="I14">
        <f t="shared" si="2"/>
        <v>0</v>
      </c>
      <c r="J14">
        <v>0</v>
      </c>
      <c r="K14">
        <v>0</v>
      </c>
      <c r="L14">
        <f t="shared" si="3"/>
        <v>0</v>
      </c>
      <c r="M14">
        <v>0</v>
      </c>
      <c r="N14">
        <v>0</v>
      </c>
      <c r="O14">
        <f t="shared" si="4"/>
        <v>0</v>
      </c>
      <c r="P14">
        <f t="shared" si="5"/>
        <v>0</v>
      </c>
      <c r="Q14" s="1">
        <v>0</v>
      </c>
      <c r="R14" s="1">
        <v>0</v>
      </c>
      <c r="S14" s="1">
        <v>0</v>
      </c>
    </row>
    <row r="15" spans="1:20" x14ac:dyDescent="0.2">
      <c r="A15" t="s">
        <v>37</v>
      </c>
      <c r="B15" t="s">
        <v>32</v>
      </c>
      <c r="C15" t="s">
        <v>38</v>
      </c>
      <c r="D15" t="s">
        <v>34</v>
      </c>
      <c r="E15">
        <v>2</v>
      </c>
      <c r="F15">
        <v>1</v>
      </c>
      <c r="G15">
        <v>0</v>
      </c>
      <c r="H15">
        <v>1</v>
      </c>
      <c r="I15">
        <f t="shared" si="2"/>
        <v>1</v>
      </c>
      <c r="J15">
        <v>0</v>
      </c>
      <c r="K15">
        <v>1</v>
      </c>
      <c r="L15">
        <f t="shared" si="3"/>
        <v>1</v>
      </c>
      <c r="M15">
        <v>0</v>
      </c>
      <c r="N15">
        <v>4</v>
      </c>
      <c r="O15">
        <f t="shared" si="4"/>
        <v>4</v>
      </c>
      <c r="P15">
        <f t="shared" si="5"/>
        <v>6</v>
      </c>
      <c r="Q15" s="1">
        <f t="shared" si="6"/>
        <v>16.666666666666664</v>
      </c>
      <c r="R15" s="1">
        <f t="shared" ref="R15:R29" si="7">SUM(L15/P15)*100</f>
        <v>16.666666666666664</v>
      </c>
      <c r="S15" s="1">
        <f t="shared" ref="S15:S29" si="8">SUM(O15/P15)*100</f>
        <v>66.666666666666657</v>
      </c>
    </row>
    <row r="16" spans="1:20" x14ac:dyDescent="0.2">
      <c r="A16" t="s">
        <v>37</v>
      </c>
      <c r="B16" t="s">
        <v>32</v>
      </c>
      <c r="C16" t="s">
        <v>38</v>
      </c>
      <c r="D16" t="s">
        <v>34</v>
      </c>
      <c r="E16">
        <v>2</v>
      </c>
      <c r="F16">
        <v>2</v>
      </c>
      <c r="G16">
        <v>0</v>
      </c>
      <c r="H16">
        <v>0</v>
      </c>
      <c r="I16">
        <f t="shared" si="2"/>
        <v>0</v>
      </c>
      <c r="J16">
        <v>1</v>
      </c>
      <c r="K16">
        <v>1</v>
      </c>
      <c r="L16">
        <f t="shared" si="3"/>
        <v>2</v>
      </c>
      <c r="M16">
        <v>0</v>
      </c>
      <c r="N16">
        <v>0</v>
      </c>
      <c r="O16">
        <f t="shared" si="4"/>
        <v>0</v>
      </c>
      <c r="P16">
        <f t="shared" si="5"/>
        <v>2</v>
      </c>
      <c r="Q16" s="1">
        <f t="shared" si="6"/>
        <v>0</v>
      </c>
      <c r="R16" s="1">
        <f t="shared" si="7"/>
        <v>100</v>
      </c>
      <c r="S16" s="1">
        <f t="shared" si="8"/>
        <v>0</v>
      </c>
    </row>
    <row r="17" spans="1:19" x14ac:dyDescent="0.2">
      <c r="A17" t="s">
        <v>37</v>
      </c>
      <c r="B17" t="s">
        <v>32</v>
      </c>
      <c r="C17" t="s">
        <v>38</v>
      </c>
      <c r="D17" t="s">
        <v>34</v>
      </c>
      <c r="E17">
        <v>13</v>
      </c>
      <c r="F17">
        <v>1</v>
      </c>
      <c r="G17">
        <v>1</v>
      </c>
      <c r="H17">
        <v>2</v>
      </c>
      <c r="I17">
        <f t="shared" si="2"/>
        <v>3</v>
      </c>
      <c r="J17">
        <v>0</v>
      </c>
      <c r="K17">
        <v>0</v>
      </c>
      <c r="L17">
        <f t="shared" si="3"/>
        <v>0</v>
      </c>
      <c r="M17">
        <v>0</v>
      </c>
      <c r="N17">
        <v>1</v>
      </c>
      <c r="O17">
        <f t="shared" si="4"/>
        <v>1</v>
      </c>
      <c r="P17">
        <f t="shared" si="5"/>
        <v>4</v>
      </c>
      <c r="Q17" s="1">
        <f t="shared" si="6"/>
        <v>75</v>
      </c>
      <c r="R17" s="1">
        <f t="shared" si="7"/>
        <v>0</v>
      </c>
      <c r="S17" s="1">
        <f t="shared" si="8"/>
        <v>25</v>
      </c>
    </row>
    <row r="18" spans="1:19" x14ac:dyDescent="0.2">
      <c r="A18" t="s">
        <v>37</v>
      </c>
      <c r="B18" t="s">
        <v>32</v>
      </c>
      <c r="C18" t="s">
        <v>38</v>
      </c>
      <c r="D18" t="s">
        <v>34</v>
      </c>
      <c r="E18">
        <v>28</v>
      </c>
      <c r="F18">
        <v>1</v>
      </c>
      <c r="G18">
        <v>2</v>
      </c>
      <c r="H18">
        <v>0</v>
      </c>
      <c r="I18">
        <f t="shared" si="2"/>
        <v>2</v>
      </c>
      <c r="J18">
        <v>4</v>
      </c>
      <c r="K18">
        <v>3</v>
      </c>
      <c r="L18">
        <f t="shared" si="3"/>
        <v>7</v>
      </c>
      <c r="M18">
        <v>0</v>
      </c>
      <c r="N18">
        <v>0</v>
      </c>
      <c r="O18">
        <f t="shared" si="4"/>
        <v>0</v>
      </c>
      <c r="P18">
        <f t="shared" si="5"/>
        <v>9</v>
      </c>
      <c r="Q18" s="1">
        <f t="shared" si="6"/>
        <v>22.222222222222221</v>
      </c>
      <c r="R18" s="1">
        <f t="shared" si="7"/>
        <v>77.777777777777786</v>
      </c>
      <c r="S18" s="1">
        <f t="shared" si="8"/>
        <v>0</v>
      </c>
    </row>
    <row r="19" spans="1:19" x14ac:dyDescent="0.2">
      <c r="A19" t="s">
        <v>37</v>
      </c>
      <c r="B19" t="s">
        <v>32</v>
      </c>
      <c r="C19" t="s">
        <v>38</v>
      </c>
      <c r="D19" t="s">
        <v>34</v>
      </c>
      <c r="E19">
        <v>40</v>
      </c>
      <c r="F19">
        <v>1</v>
      </c>
      <c r="G19">
        <v>2</v>
      </c>
      <c r="H19">
        <v>0</v>
      </c>
      <c r="I19">
        <f t="shared" si="2"/>
        <v>2</v>
      </c>
      <c r="J19">
        <v>1</v>
      </c>
      <c r="K19">
        <v>0</v>
      </c>
      <c r="L19">
        <f t="shared" si="3"/>
        <v>1</v>
      </c>
      <c r="M19">
        <v>0</v>
      </c>
      <c r="N19">
        <v>0</v>
      </c>
      <c r="O19">
        <f t="shared" si="4"/>
        <v>0</v>
      </c>
      <c r="P19">
        <f t="shared" si="5"/>
        <v>3</v>
      </c>
      <c r="Q19" s="1">
        <f t="shared" si="6"/>
        <v>66.666666666666657</v>
      </c>
      <c r="R19" s="1">
        <f t="shared" si="7"/>
        <v>33.333333333333329</v>
      </c>
      <c r="S19" s="1">
        <f t="shared" si="8"/>
        <v>0</v>
      </c>
    </row>
    <row r="20" spans="1:19" x14ac:dyDescent="0.2">
      <c r="A20" t="s">
        <v>37</v>
      </c>
      <c r="B20" t="s">
        <v>32</v>
      </c>
      <c r="C20" t="s">
        <v>38</v>
      </c>
      <c r="D20" t="s">
        <v>34</v>
      </c>
      <c r="E20">
        <v>40</v>
      </c>
      <c r="F20">
        <v>2</v>
      </c>
      <c r="G20">
        <v>0</v>
      </c>
      <c r="H20">
        <v>1</v>
      </c>
      <c r="I20">
        <f t="shared" si="2"/>
        <v>1</v>
      </c>
      <c r="J20">
        <v>0</v>
      </c>
      <c r="K20">
        <v>4</v>
      </c>
      <c r="L20">
        <f t="shared" si="3"/>
        <v>4</v>
      </c>
      <c r="M20">
        <v>0</v>
      </c>
      <c r="N20">
        <v>0</v>
      </c>
      <c r="O20">
        <f t="shared" si="4"/>
        <v>0</v>
      </c>
      <c r="P20">
        <f t="shared" si="5"/>
        <v>5</v>
      </c>
      <c r="Q20" s="1">
        <f t="shared" si="6"/>
        <v>20</v>
      </c>
      <c r="R20" s="1">
        <f t="shared" si="7"/>
        <v>80</v>
      </c>
      <c r="S20" s="1">
        <f t="shared" si="8"/>
        <v>0</v>
      </c>
    </row>
    <row r="21" spans="1:19" x14ac:dyDescent="0.2">
      <c r="A21" t="s">
        <v>39</v>
      </c>
      <c r="B21" t="s">
        <v>40</v>
      </c>
      <c r="C21" t="s">
        <v>36</v>
      </c>
      <c r="D21" t="s">
        <v>34</v>
      </c>
      <c r="E21">
        <v>11</v>
      </c>
      <c r="F21">
        <v>1</v>
      </c>
      <c r="G21">
        <v>3</v>
      </c>
      <c r="H21">
        <v>1</v>
      </c>
      <c r="I21">
        <f t="shared" si="2"/>
        <v>4</v>
      </c>
      <c r="J21">
        <v>0</v>
      </c>
      <c r="K21">
        <v>0</v>
      </c>
      <c r="L21">
        <f t="shared" si="3"/>
        <v>0</v>
      </c>
      <c r="M21">
        <v>0</v>
      </c>
      <c r="N21">
        <v>0</v>
      </c>
      <c r="O21">
        <f t="shared" si="4"/>
        <v>0</v>
      </c>
      <c r="P21">
        <f t="shared" si="5"/>
        <v>4</v>
      </c>
      <c r="Q21" s="1">
        <f t="shared" si="6"/>
        <v>100</v>
      </c>
      <c r="R21" s="1">
        <f t="shared" si="7"/>
        <v>0</v>
      </c>
      <c r="S21" s="1">
        <f t="shared" si="8"/>
        <v>0</v>
      </c>
    </row>
    <row r="22" spans="1:19" x14ac:dyDescent="0.2">
      <c r="A22" t="s">
        <v>39</v>
      </c>
      <c r="B22" t="s">
        <v>40</v>
      </c>
      <c r="C22" t="s">
        <v>36</v>
      </c>
      <c r="D22" t="s">
        <v>34</v>
      </c>
      <c r="E22">
        <v>11</v>
      </c>
      <c r="F22">
        <v>2</v>
      </c>
      <c r="G22">
        <v>3</v>
      </c>
      <c r="H22">
        <v>1</v>
      </c>
      <c r="I22">
        <f t="shared" si="2"/>
        <v>4</v>
      </c>
      <c r="J22">
        <v>0</v>
      </c>
      <c r="K22">
        <v>0</v>
      </c>
      <c r="L22">
        <f t="shared" si="3"/>
        <v>0</v>
      </c>
      <c r="M22">
        <v>0</v>
      </c>
      <c r="N22">
        <v>0</v>
      </c>
      <c r="O22">
        <f t="shared" si="4"/>
        <v>0</v>
      </c>
      <c r="P22">
        <f t="shared" si="5"/>
        <v>4</v>
      </c>
      <c r="Q22" s="1">
        <f t="shared" si="6"/>
        <v>100</v>
      </c>
      <c r="R22" s="1">
        <f t="shared" si="7"/>
        <v>0</v>
      </c>
      <c r="S22" s="1">
        <f t="shared" si="8"/>
        <v>0</v>
      </c>
    </row>
    <row r="23" spans="1:19" x14ac:dyDescent="0.2">
      <c r="A23" t="s">
        <v>39</v>
      </c>
      <c r="B23" t="s">
        <v>40</v>
      </c>
      <c r="C23" t="s">
        <v>36</v>
      </c>
      <c r="D23" t="s">
        <v>34</v>
      </c>
      <c r="E23">
        <v>26</v>
      </c>
      <c r="F23">
        <v>1</v>
      </c>
      <c r="G23">
        <v>4</v>
      </c>
      <c r="H23">
        <v>2</v>
      </c>
      <c r="I23">
        <f t="shared" si="2"/>
        <v>6</v>
      </c>
      <c r="J23">
        <v>11</v>
      </c>
      <c r="K23">
        <v>7</v>
      </c>
      <c r="L23">
        <f t="shared" si="3"/>
        <v>18</v>
      </c>
      <c r="M23">
        <v>3</v>
      </c>
      <c r="N23">
        <v>2</v>
      </c>
      <c r="O23">
        <f t="shared" si="4"/>
        <v>5</v>
      </c>
      <c r="P23">
        <f t="shared" si="5"/>
        <v>29</v>
      </c>
      <c r="Q23" s="1">
        <f t="shared" si="6"/>
        <v>20.689655172413794</v>
      </c>
      <c r="R23" s="1">
        <f t="shared" si="7"/>
        <v>62.068965517241381</v>
      </c>
      <c r="S23" s="1">
        <f t="shared" si="8"/>
        <v>17.241379310344829</v>
      </c>
    </row>
    <row r="24" spans="1:19" x14ac:dyDescent="0.2">
      <c r="A24" t="s">
        <v>39</v>
      </c>
      <c r="B24" t="s">
        <v>40</v>
      </c>
      <c r="C24" t="s">
        <v>36</v>
      </c>
      <c r="D24" t="s">
        <v>34</v>
      </c>
      <c r="E24">
        <v>26</v>
      </c>
      <c r="F24">
        <v>2</v>
      </c>
      <c r="G24">
        <v>4</v>
      </c>
      <c r="H24">
        <v>4</v>
      </c>
      <c r="I24">
        <f t="shared" si="2"/>
        <v>8</v>
      </c>
      <c r="J24">
        <v>5</v>
      </c>
      <c r="K24">
        <v>4</v>
      </c>
      <c r="L24">
        <f t="shared" si="3"/>
        <v>9</v>
      </c>
      <c r="M24">
        <v>1</v>
      </c>
      <c r="N24">
        <v>0</v>
      </c>
      <c r="O24">
        <f t="shared" si="4"/>
        <v>1</v>
      </c>
      <c r="P24">
        <f t="shared" si="5"/>
        <v>18</v>
      </c>
      <c r="Q24" s="1">
        <f t="shared" si="6"/>
        <v>44.444444444444443</v>
      </c>
      <c r="R24" s="1">
        <f t="shared" si="7"/>
        <v>50</v>
      </c>
      <c r="S24" s="1">
        <f t="shared" si="8"/>
        <v>5.5555555555555554</v>
      </c>
    </row>
    <row r="25" spans="1:19" x14ac:dyDescent="0.2">
      <c r="A25" t="s">
        <v>39</v>
      </c>
      <c r="B25" t="s">
        <v>40</v>
      </c>
      <c r="C25" t="s">
        <v>36</v>
      </c>
      <c r="D25" t="s">
        <v>34</v>
      </c>
      <c r="E25" s="10">
        <v>26.5</v>
      </c>
      <c r="F25">
        <v>3</v>
      </c>
      <c r="G25">
        <v>1</v>
      </c>
      <c r="H25">
        <v>4</v>
      </c>
      <c r="I25">
        <f t="shared" si="2"/>
        <v>5</v>
      </c>
      <c r="J25">
        <v>6</v>
      </c>
      <c r="K25">
        <v>6</v>
      </c>
      <c r="L25">
        <f t="shared" si="3"/>
        <v>12</v>
      </c>
      <c r="M25">
        <v>2</v>
      </c>
      <c r="N25">
        <v>3</v>
      </c>
      <c r="O25">
        <f t="shared" si="4"/>
        <v>5</v>
      </c>
      <c r="P25">
        <f t="shared" si="5"/>
        <v>22</v>
      </c>
      <c r="Q25" s="1">
        <f t="shared" si="6"/>
        <v>22.727272727272727</v>
      </c>
      <c r="R25" s="1">
        <f t="shared" si="7"/>
        <v>54.54545454545454</v>
      </c>
      <c r="S25" s="1">
        <f t="shared" si="8"/>
        <v>22.727272727272727</v>
      </c>
    </row>
    <row r="26" spans="1:19" x14ac:dyDescent="0.2">
      <c r="A26" t="s">
        <v>39</v>
      </c>
      <c r="B26" t="s">
        <v>40</v>
      </c>
      <c r="C26" t="s">
        <v>36</v>
      </c>
      <c r="D26" t="s">
        <v>34</v>
      </c>
      <c r="E26">
        <v>41</v>
      </c>
      <c r="F26">
        <v>1</v>
      </c>
      <c r="G26">
        <v>7</v>
      </c>
      <c r="H26">
        <v>1</v>
      </c>
      <c r="I26">
        <f t="shared" si="2"/>
        <v>8</v>
      </c>
      <c r="J26">
        <v>18</v>
      </c>
      <c r="K26">
        <v>10</v>
      </c>
      <c r="L26">
        <f t="shared" si="3"/>
        <v>28</v>
      </c>
      <c r="M26">
        <v>2</v>
      </c>
      <c r="N26">
        <v>1</v>
      </c>
      <c r="O26">
        <f t="shared" si="4"/>
        <v>3</v>
      </c>
      <c r="P26">
        <f t="shared" si="5"/>
        <v>39</v>
      </c>
      <c r="Q26" s="1">
        <f t="shared" si="6"/>
        <v>20.512820512820511</v>
      </c>
      <c r="R26" s="1">
        <f t="shared" si="7"/>
        <v>71.794871794871796</v>
      </c>
      <c r="S26" s="1">
        <f t="shared" si="8"/>
        <v>7.6923076923076925</v>
      </c>
    </row>
    <row r="27" spans="1:19" x14ac:dyDescent="0.2">
      <c r="A27" t="s">
        <v>39</v>
      </c>
      <c r="B27" t="s">
        <v>40</v>
      </c>
      <c r="C27" t="s">
        <v>36</v>
      </c>
      <c r="D27" t="s">
        <v>34</v>
      </c>
      <c r="E27">
        <v>41</v>
      </c>
      <c r="F27">
        <v>2</v>
      </c>
      <c r="G27">
        <v>7</v>
      </c>
      <c r="H27">
        <v>3</v>
      </c>
      <c r="I27">
        <f t="shared" si="2"/>
        <v>10</v>
      </c>
      <c r="J27">
        <v>9</v>
      </c>
      <c r="K27">
        <v>8</v>
      </c>
      <c r="L27">
        <f t="shared" si="3"/>
        <v>17</v>
      </c>
      <c r="M27">
        <v>2</v>
      </c>
      <c r="N27">
        <v>3</v>
      </c>
      <c r="O27">
        <f t="shared" si="4"/>
        <v>5</v>
      </c>
      <c r="P27">
        <f t="shared" si="5"/>
        <v>32</v>
      </c>
      <c r="Q27" s="1">
        <f t="shared" si="6"/>
        <v>31.25</v>
      </c>
      <c r="R27" s="1">
        <f t="shared" si="7"/>
        <v>53.125</v>
      </c>
      <c r="S27" s="1">
        <f t="shared" si="8"/>
        <v>15.625</v>
      </c>
    </row>
    <row r="28" spans="1:19" x14ac:dyDescent="0.2">
      <c r="A28" t="s">
        <v>39</v>
      </c>
      <c r="B28" t="s">
        <v>40</v>
      </c>
      <c r="C28" t="s">
        <v>36</v>
      </c>
      <c r="D28" t="s">
        <v>34</v>
      </c>
      <c r="E28" s="10">
        <v>41.5</v>
      </c>
      <c r="F28">
        <v>3</v>
      </c>
      <c r="G28">
        <v>16</v>
      </c>
      <c r="H28">
        <v>6</v>
      </c>
      <c r="I28">
        <f t="shared" si="2"/>
        <v>22</v>
      </c>
      <c r="J28">
        <v>5</v>
      </c>
      <c r="K28">
        <v>7</v>
      </c>
      <c r="L28">
        <f t="shared" si="3"/>
        <v>12</v>
      </c>
      <c r="M28">
        <v>5</v>
      </c>
      <c r="N28">
        <v>2</v>
      </c>
      <c r="O28">
        <f t="shared" si="4"/>
        <v>7</v>
      </c>
      <c r="P28">
        <f t="shared" si="5"/>
        <v>41</v>
      </c>
      <c r="Q28" s="1">
        <f t="shared" si="6"/>
        <v>53.658536585365859</v>
      </c>
      <c r="R28" s="1">
        <f t="shared" si="7"/>
        <v>29.268292682926827</v>
      </c>
      <c r="S28" s="1">
        <f t="shared" si="8"/>
        <v>17.073170731707318</v>
      </c>
    </row>
    <row r="29" spans="1:19" x14ac:dyDescent="0.2">
      <c r="A29" t="s">
        <v>39</v>
      </c>
      <c r="B29" t="s">
        <v>40</v>
      </c>
      <c r="C29" t="s">
        <v>36</v>
      </c>
      <c r="D29" t="s">
        <v>34</v>
      </c>
      <c r="E29">
        <v>54</v>
      </c>
      <c r="F29">
        <v>1</v>
      </c>
      <c r="G29">
        <v>1</v>
      </c>
      <c r="H29">
        <v>0</v>
      </c>
      <c r="I29">
        <f t="shared" si="2"/>
        <v>1</v>
      </c>
      <c r="J29">
        <v>0</v>
      </c>
      <c r="K29">
        <v>2</v>
      </c>
      <c r="L29">
        <f t="shared" si="3"/>
        <v>2</v>
      </c>
      <c r="M29">
        <v>5</v>
      </c>
      <c r="N29">
        <v>6</v>
      </c>
      <c r="O29">
        <f t="shared" si="4"/>
        <v>11</v>
      </c>
      <c r="P29">
        <f t="shared" si="5"/>
        <v>14</v>
      </c>
      <c r="Q29" s="1">
        <f t="shared" si="6"/>
        <v>7.1428571428571423</v>
      </c>
      <c r="R29" s="1">
        <f t="shared" si="7"/>
        <v>14.285714285714285</v>
      </c>
      <c r="S29" s="1">
        <f t="shared" si="8"/>
        <v>78.571428571428569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copping</dc:creator>
  <cp:lastModifiedBy>toby copping</cp:lastModifiedBy>
  <dcterms:created xsi:type="dcterms:W3CDTF">2026-08-06T09:47:00Z</dcterms:created>
  <dcterms:modified xsi:type="dcterms:W3CDTF">2026-08-24T19:40:43Z</dcterms:modified>
</cp:coreProperties>
</file>